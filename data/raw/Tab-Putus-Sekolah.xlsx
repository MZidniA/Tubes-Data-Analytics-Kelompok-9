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-Putus-Sekolah" sheetId="1" r:id="rId4"/>
    <sheet state="visible" name="Per-KabKota-Status" sheetId="2" r:id="rId5"/>
    <sheet state="visible" name="SD" sheetId="3" r:id="rId6"/>
    <sheet state="visible" name="SMP" sheetId="4" r:id="rId7"/>
    <sheet state="visible" name="SMA" sheetId="5" r:id="rId8"/>
    <sheet state="visible" name="SMK" sheetId="6" r:id="rId9"/>
    <sheet state="visible" name="SLB" sheetId="7" r:id="rId10"/>
  </sheets>
  <definedNames/>
  <calcPr/>
  <extLst>
    <ext uri="GoogleSheetsCustomDataVersion2">
      <go:sheetsCustomData xmlns:go="http://customooxmlschemas.google.com/" r:id="rId11" roundtripDataChecksum="UpQ1WdjmMZ9XKI/h9sFzXs2FIfAHt93HtExWmDB5Ho4="/>
    </ext>
  </extLst>
</workbook>
</file>

<file path=xl/sharedStrings.xml><?xml version="1.0" encoding="utf-8"?>
<sst xmlns="http://schemas.openxmlformats.org/spreadsheetml/2006/main" count="682" uniqueCount="118">
  <si>
    <t>JUMLAH PUTUS SEKOLAH MENURUT TINGKAT TIAP KABUPATEN/KOTA</t>
  </si>
  <si>
    <t>JUMLAH PUTUS SEKOLAH MENURUT JENIS KELAMIN TIAP KABUPATEN/KOTA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</si>
  <si>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</si>
  <si>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</si>
  <si>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</si>
  <si>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</si>
  <si>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</si>
  <si>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TAHUN AJARAN 2024/2025</t>
  </si>
  <si>
    <t>No</t>
  </si>
  <si>
    <t xml:space="preserve"> KABUPATEN / KOTA</t>
  </si>
  <si>
    <t>TINGKAT</t>
  </si>
  <si>
    <t>JUMLAH</t>
  </si>
  <si>
    <t>JENIS KELAMIN</t>
  </si>
  <si>
    <t>TKT 1</t>
  </si>
  <si>
    <t>TKT 2</t>
  </si>
  <si>
    <t>TKT 3</t>
  </si>
  <si>
    <t>TKT 4</t>
  </si>
  <si>
    <t>TKT 5</t>
  </si>
  <si>
    <t>TKT 6</t>
  </si>
  <si>
    <t>TKT 7</t>
  </si>
  <si>
    <t>TKT 8</t>
  </si>
  <si>
    <t>TKT 9</t>
  </si>
  <si>
    <t>TKT 10</t>
  </si>
  <si>
    <t>TKT 11</t>
  </si>
  <si>
    <t>TKT 12</t>
  </si>
  <si>
    <t>Laki-Laki</t>
  </si>
  <si>
    <t>Perempuan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</si>
  <si>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</si>
  <si>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</si>
  <si>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</si>
  <si>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</si>
  <si>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</si>
  <si>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</si>
  <si>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</si>
  <si>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</si>
  <si>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</si>
  <si>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</si>
  <si>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</si>
  <si>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</si>
  <si>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</si>
  <si>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</si>
  <si>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</si>
  <si>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</si>
  <si>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</si>
  <si>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</si>
  <si>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</si>
  <si>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</si>
  <si>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</si>
  <si>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</si>
  <si>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</si>
  <si>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</si>
  <si>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</si>
  <si>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</si>
  <si>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</si>
  <si>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PROVINSI JAWA BARAT</t>
  </si>
  <si>
    <t>Sumber: Pusdatin Kemendikdasmen - Pengolahan berdasarkan data cut off tanggal 30-Nov-2024</t>
  </si>
  <si>
    <t>PUTUS SEKOLAH</t>
  </si>
  <si>
    <t>NEGERI</t>
  </si>
  <si>
    <t>SWASTA</t>
  </si>
  <si>
    <t>ANGKA PUTUS SEKOLAH MENURUT STATUS SATUAN PENDIDIKAN TIAP PROVINSI</t>
  </si>
  <si>
    <t>JENJANG SEKOLAH DASAR (SD)</t>
  </si>
  <si>
    <t>Pengolahan berdasarkan data dengan kondisi tanggal 30 November 2024.</t>
  </si>
  <si>
    <t>Provinsi</t>
  </si>
  <si>
    <t>Negeri</t>
  </si>
  <si>
    <t>Swasta</t>
  </si>
  <si>
    <t>Negeri+Swasta</t>
  </si>
  <si>
    <t>Siswa 23/24</t>
  </si>
  <si>
    <t>Putus Sek</t>
  </si>
  <si>
    <t>%</t>
  </si>
  <si>
    <t xml:space="preserve">Aceh </t>
  </si>
  <si>
    <t>Sumatera Utara</t>
  </si>
  <si>
    <t>Sumatera Barat</t>
  </si>
  <si>
    <t xml:space="preserve">Riau </t>
  </si>
  <si>
    <t xml:space="preserve">Jambi </t>
  </si>
  <si>
    <t>Sumatera Selatan</t>
  </si>
  <si>
    <t xml:space="preserve">Bengkulu </t>
  </si>
  <si>
    <t xml:space="preserve">Lampung 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</si>
  <si>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</si>
  <si>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</si>
  <si>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</si>
  <si>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</si>
  <si>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</si>
  <si>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</si>
  <si>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</si>
  <si>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 xml:space="preserve">Banten </t>
  </si>
  <si>
    <t xml:space="preserve">Bali 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</si>
  <si>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</si>
  <si>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</si>
  <si>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</si>
  <si>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</si>
  <si>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</si>
  <si>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</si>
  <si>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</si>
  <si>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</si>
  <si>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</si>
  <si>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</si>
  <si>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</si>
  <si>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 xml:space="preserve">Gorontalo </t>
  </si>
  <si>
    <t>Sulawesi Barat</t>
  </si>
  <si>
    <t xml:space="preserve">Maluku </t>
  </si>
  <si>
    <t>Maluku Utara</t>
  </si>
  <si>
    <t xml:space="preserve">Papua </t>
  </si>
  <si>
    <t>Papua Barat</t>
  </si>
  <si>
    <t>Papua Selatan</t>
  </si>
  <si>
    <t>Papua Tengah</t>
  </si>
  <si>
    <t>Papua Pegunungan</t>
  </si>
  <si>
    <t>Papua Barat Daya</t>
  </si>
  <si>
    <t>Luar Negeri</t>
  </si>
  <si>
    <t>Indonesia</t>
  </si>
  <si>
    <r>
      <rPr>
        <rFont val="Calibri"/>
        <b/>
        <i/>
        <color theme="1"/>
        <sz val="10.0"/>
      </rPr>
      <t>Catatan :</t>
    </r>
    <r>
      <rPr>
        <rFont val="Calibri"/>
        <color theme="1"/>
        <sz val="10.0"/>
      </rPr>
      <t xml:space="preserve">
Angka putus sekolah dihitung dari jumlah putus sekolah menurut tingkat tahun tertentu dibagi dengan jumlah peserta didik menurut tingkat tahun sebelumnya dikalikan dengan 100</t>
    </r>
  </si>
  <si>
    <t>JENJANG SEKOLAH MENENGAH PERTAMA (SMP)</t>
  </si>
  <si>
    <r>
      <rPr>
        <rFont val="Calibri"/>
        <b/>
        <i/>
        <color theme="1"/>
        <sz val="10.0"/>
      </rPr>
      <t>Catatan :</t>
    </r>
    <r>
      <rPr>
        <rFont val="Calibri"/>
        <color theme="1"/>
        <sz val="10.0"/>
      </rPr>
      <t xml:space="preserve">
Angka putus sekolah dihitung dari jumlah putus sekolah menurut tingkat tahun tertentu dibagi dengan jumlah peserta didik menurut tingkat tahun sebelumnya dikalikan dengan 100</t>
    </r>
  </si>
  <si>
    <t>JENJANG SEKOLAH MENENGAH ATAS (SMA)</t>
  </si>
  <si>
    <r>
      <rPr>
        <rFont val="Calibri"/>
        <b/>
        <i/>
        <color theme="1"/>
        <sz val="10.0"/>
      </rPr>
      <t>Catatan :</t>
    </r>
    <r>
      <rPr>
        <rFont val="Calibri"/>
        <color theme="1"/>
        <sz val="10.0"/>
      </rPr>
      <t xml:space="preserve">
Angka putus sekolah dihitung dari jumlah putus sekolah menurut tingkat tahun tertentu dibagi dengan jumlah peserta didik menurut tingkat tahun sebelumnya dikalikan dengan 100</t>
    </r>
  </si>
  <si>
    <t>JENJANG SEKOLAH MENENGAH KEJURUAN  (SMK)</t>
  </si>
  <si>
    <r>
      <rPr>
        <rFont val="Calibri"/>
        <b/>
        <i/>
        <color theme="1"/>
        <sz val="10.0"/>
      </rPr>
      <t>Catatan :</t>
    </r>
    <r>
      <rPr>
        <rFont val="Calibri"/>
        <color theme="1"/>
        <sz val="10.0"/>
      </rPr>
      <t xml:space="preserve">
Angka putus sekolah dihitung dari jumlah putus sekolah menurut tingkat tahun tertentu dibagi dengan jumlah peserta didik menurut tingkat tahun sebelumnya dikalikan dengan 100</t>
    </r>
  </si>
  <si>
    <t>JENJANG SEKOLAH LUAR BIASA (SLB)</t>
  </si>
  <si>
    <r>
      <rPr>
        <rFont val="Calibri"/>
        <b/>
        <i/>
        <color theme="1"/>
        <sz val="10.0"/>
      </rPr>
      <t>Catatan :</t>
    </r>
    <r>
      <rPr>
        <rFont val="Calibri"/>
        <color theme="1"/>
        <sz val="10.0"/>
      </rPr>
      <t xml:space="preserve">
Angka putus sekolah dihitung dari jumlah putus sekolah menurut tingkat tahun tertentu dibagi dengan jumlah peserta didik menurut tingkat tahun sebelumnya dikalikan dengan 100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</si>
</sst>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/>
    <font>
      <i/>
      <sz val="9.0"/>
      <color theme="1"/>
      <name val="Calibri"/>
    </font>
    <font>
      <i/>
      <sz val="10.0"/>
      <color rgb="FFFF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4" numFmtId="0" xfId="0" applyBorder="1" applyFill="1" applyFont="1"/>
    <xf borderId="2" fillId="2" fontId="5" numFmtId="0" xfId="0" applyAlignment="1" applyBorder="1" applyFont="1">
      <alignment horizontal="center" shrinkToFit="0" vertical="center" wrapText="1"/>
    </xf>
    <xf borderId="2" fillId="2" fontId="5" numFmtId="164" xfId="0" applyAlignment="1" applyBorder="1" applyFont="1" applyNumberFormat="1">
      <alignment horizontal="center" shrinkToFit="0" vertical="center" wrapText="1"/>
    </xf>
    <xf borderId="3" fillId="2" fontId="5" numFmtId="164" xfId="0" applyAlignment="1" applyBorder="1" applyFont="1" applyNumberForma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2" fontId="5" numFmtId="164" xfId="0" applyAlignment="1" applyBorder="1" applyFont="1" applyNumberFormat="1">
      <alignment horizontal="center" shrinkToFit="0" vertical="center" wrapText="1"/>
    </xf>
    <xf borderId="0" fillId="0" fontId="4" numFmtId="0" xfId="0" applyFont="1"/>
    <xf borderId="8" fillId="0" fontId="4" numFmtId="0" xfId="0" applyAlignment="1" applyBorder="1" applyFont="1">
      <alignment horizontal="center" shrinkToFit="0" vertical="center" wrapText="1"/>
    </xf>
    <xf borderId="8" fillId="0" fontId="4" numFmtId="164" xfId="0" applyAlignment="1" applyBorder="1" applyFont="1" applyNumberFormat="1">
      <alignment horizontal="left" shrinkToFit="0" vertical="center" wrapText="1"/>
    </xf>
    <xf borderId="8" fillId="0" fontId="4" numFmtId="37" xfId="0" applyAlignment="1" applyBorder="1" applyFont="1" applyNumberFormat="1">
      <alignment horizontal="right" shrinkToFit="0" vertical="center" wrapText="1"/>
    </xf>
    <xf borderId="8" fillId="2" fontId="5" numFmtId="37" xfId="0" applyAlignment="1" applyBorder="1" applyFont="1" applyNumberFormat="1">
      <alignment horizontal="right" shrinkToFit="0" vertical="center" wrapText="1"/>
    </xf>
    <xf borderId="0" fillId="0" fontId="7" numFmtId="0" xfId="0" applyFont="1"/>
    <xf borderId="0" fillId="0" fontId="5" numFmtId="0" xfId="0" applyFont="1"/>
    <xf borderId="0" fillId="0" fontId="8" numFmtId="0" xfId="0" applyFont="1"/>
    <xf borderId="2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8" fillId="0" fontId="1" numFmtId="3" xfId="0" applyAlignment="1" applyBorder="1" applyFont="1" applyNumberFormat="1">
      <alignment horizontal="right" vertical="center"/>
    </xf>
    <xf borderId="8" fillId="0" fontId="1" numFmtId="4" xfId="0" applyAlignment="1" applyBorder="1" applyFont="1" applyNumberFormat="1">
      <alignment horizontal="center" vertical="center"/>
    </xf>
    <xf borderId="8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left" vertical="center"/>
    </xf>
    <xf borderId="8" fillId="2" fontId="3" numFmtId="3" xfId="0" applyAlignment="1" applyBorder="1" applyFont="1" applyNumberFormat="1">
      <alignment horizontal="right" vertical="center"/>
    </xf>
    <xf borderId="8" fillId="2" fontId="3" numFmtId="4" xfId="0" applyAlignment="1" applyBorder="1" applyFont="1" applyNumberFormat="1">
      <alignment horizontal="center" vertical="center"/>
    </xf>
    <xf borderId="8" fillId="3" fontId="3" numFmtId="3" xfId="0" applyAlignment="1" applyBorder="1" applyFont="1" applyNumberFormat="1">
      <alignment horizontal="right" vertical="center"/>
    </xf>
    <xf borderId="8" fillId="3" fontId="3" numFmtId="4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71"/>
    <col customWidth="1" min="2" max="2" width="4.71"/>
    <col customWidth="1" min="3" max="3" width="30.71"/>
    <col customWidth="1" min="4" max="9" width="9.71"/>
    <col customWidth="1" min="10" max="10" width="12.71"/>
    <col customWidth="1" min="11" max="11" width="2.71"/>
    <col customWidth="1" min="12" max="12" width="4.71"/>
    <col customWidth="1" min="13" max="13" width="30.71"/>
    <col customWidth="1" min="14" max="17" width="11.71"/>
    <col customWidth="1" min="18" max="18" width="2.71"/>
    <col customWidth="1" min="19" max="19" width="4.71"/>
    <col customWidth="1" min="20" max="20" width="30.71"/>
    <col customWidth="1" min="21" max="24" width="11.71"/>
    <col customWidth="1" min="25" max="25" width="2.71"/>
    <col customWidth="1" min="26" max="26" width="4.71"/>
    <col customWidth="1" min="27" max="27" width="30.71"/>
    <col customWidth="1" min="28" max="31" width="11.71"/>
    <col customWidth="1" min="32" max="32" width="2.71"/>
    <col customWidth="1" min="33" max="33" width="4.71"/>
    <col customWidth="1" min="34" max="34" width="30.71"/>
    <col customWidth="1" min="35" max="37" width="16.71"/>
    <col customWidth="1" min="38" max="38" width="2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2" t="s">
        <v>0</v>
      </c>
      <c r="M1" s="3"/>
      <c r="N1" s="3"/>
      <c r="O1" s="3"/>
      <c r="P1" s="3"/>
      <c r="Q1" s="3"/>
      <c r="R1" s="4"/>
      <c r="S1" s="2" t="s">
        <v>0</v>
      </c>
      <c r="T1" s="3"/>
      <c r="U1" s="3"/>
      <c r="V1" s="3"/>
      <c r="W1" s="3"/>
      <c r="X1" s="3"/>
      <c r="Y1" s="4"/>
      <c r="Z1" s="2" t="s">
        <v>0</v>
      </c>
      <c r="AA1" s="3"/>
      <c r="AB1" s="3"/>
      <c r="AC1" s="3"/>
      <c r="AD1" s="3"/>
      <c r="AE1" s="3"/>
      <c r="AF1" s="4"/>
      <c r="AG1" s="2" t="s">
        <v>1</v>
      </c>
      <c r="AH1" s="3"/>
      <c r="AI1" s="3"/>
      <c r="AJ1" s="3"/>
      <c r="AK1" s="3"/>
      <c r="AL1" s="4"/>
    </row>
    <row r="2" ht="18.0" customHeight="1">
      <c r="A2" s="1"/>
      <c r="B2" s="3" t="s">
        <v>2</v>
      </c>
      <c r="C2" s="5"/>
      <c r="D2" s="5"/>
      <c r="E2" s="5"/>
      <c r="F2" s="5"/>
      <c r="G2" s="5"/>
      <c r="H2" s="5"/>
      <c r="I2" s="5"/>
      <c r="J2" s="5"/>
      <c r="K2" s="4"/>
      <c r="L2" s="3" t="s">
        <v>3</v>
      </c>
      <c r="M2" s="5"/>
      <c r="N2" s="5"/>
      <c r="O2" s="5"/>
      <c r="P2" s="5"/>
      <c r="Q2" s="5"/>
      <c r="R2" s="4"/>
      <c r="S2" s="3" t="s">
        <v>4</v>
      </c>
      <c r="T2" s="5"/>
      <c r="U2" s="5"/>
      <c r="V2" s="5"/>
      <c r="W2" s="5"/>
      <c r="X2" s="5"/>
      <c r="Y2" s="4"/>
      <c r="Z2" s="3" t="s">
        <v>5</v>
      </c>
      <c r="AA2" s="5"/>
      <c r="AB2" s="5"/>
      <c r="AC2" s="5"/>
      <c r="AD2" s="5"/>
      <c r="AE2" s="5"/>
      <c r="AF2" s="4"/>
      <c r="AG2" s="3" t="s">
        <v>6</v>
      </c>
      <c r="AH2" s="5"/>
      <c r="AI2" s="5"/>
      <c r="AJ2" s="5"/>
      <c r="AK2" s="5"/>
      <c r="AL2" s="4"/>
    </row>
    <row r="3" ht="18.0" customHeight="1">
      <c r="A3" s="1"/>
      <c r="B3" s="3" t="s">
        <v>7</v>
      </c>
      <c r="C3" s="5"/>
      <c r="D3" s="5"/>
      <c r="E3" s="5"/>
      <c r="F3" s="5"/>
      <c r="G3" s="5"/>
      <c r="H3" s="5"/>
      <c r="I3" s="5"/>
      <c r="J3" s="5"/>
      <c r="K3" s="4"/>
      <c r="L3" s="3" t="s">
        <v>7</v>
      </c>
      <c r="M3" s="5"/>
      <c r="N3" s="5"/>
      <c r="O3" s="5"/>
      <c r="P3" s="5"/>
      <c r="Q3" s="5"/>
      <c r="R3" s="4"/>
      <c r="S3" s="3" t="s">
        <v>7</v>
      </c>
      <c r="T3" s="5"/>
      <c r="U3" s="5"/>
      <c r="V3" s="5"/>
      <c r="W3" s="5"/>
      <c r="X3" s="5"/>
      <c r="Y3" s="4"/>
      <c r="Z3" s="3" t="s">
        <v>7</v>
      </c>
      <c r="AA3" s="5"/>
      <c r="AB3" s="5"/>
      <c r="AC3" s="5"/>
      <c r="AD3" s="5"/>
      <c r="AE3" s="5"/>
      <c r="AF3" s="4"/>
      <c r="AG3" s="3" t="s">
        <v>7</v>
      </c>
      <c r="AH3" s="5"/>
      <c r="AI3" s="5"/>
      <c r="AJ3" s="5"/>
      <c r="AK3" s="5"/>
      <c r="AL3" s="4"/>
    </row>
    <row r="4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24.0" customHeight="1">
      <c r="A5" s="6"/>
      <c r="B5" s="7" t="s">
        <v>8</v>
      </c>
      <c r="C5" s="8" t="s">
        <v>9</v>
      </c>
      <c r="D5" s="9" t="s">
        <v>10</v>
      </c>
      <c r="E5" s="10"/>
      <c r="F5" s="10"/>
      <c r="G5" s="10"/>
      <c r="H5" s="10"/>
      <c r="I5" s="11"/>
      <c r="J5" s="8" t="s">
        <v>11</v>
      </c>
      <c r="K5" s="6"/>
      <c r="L5" s="7" t="s">
        <v>8</v>
      </c>
      <c r="M5" s="8" t="s">
        <v>9</v>
      </c>
      <c r="N5" s="9" t="s">
        <v>10</v>
      </c>
      <c r="O5" s="10"/>
      <c r="P5" s="11"/>
      <c r="Q5" s="8" t="s">
        <v>11</v>
      </c>
      <c r="R5" s="6"/>
      <c r="S5" s="7" t="s">
        <v>8</v>
      </c>
      <c r="T5" s="8" t="s">
        <v>9</v>
      </c>
      <c r="U5" s="9" t="s">
        <v>10</v>
      </c>
      <c r="V5" s="10"/>
      <c r="W5" s="11"/>
      <c r="X5" s="8" t="s">
        <v>11</v>
      </c>
      <c r="Y5" s="6"/>
      <c r="Z5" s="7" t="s">
        <v>8</v>
      </c>
      <c r="AA5" s="8" t="s">
        <v>9</v>
      </c>
      <c r="AB5" s="9" t="s">
        <v>10</v>
      </c>
      <c r="AC5" s="10"/>
      <c r="AD5" s="11"/>
      <c r="AE5" s="8" t="s">
        <v>11</v>
      </c>
      <c r="AF5" s="6"/>
      <c r="AG5" s="7" t="s">
        <v>8</v>
      </c>
      <c r="AH5" s="8" t="s">
        <v>9</v>
      </c>
      <c r="AI5" s="9" t="s">
        <v>12</v>
      </c>
      <c r="AJ5" s="12"/>
      <c r="AK5" s="8" t="s">
        <v>11</v>
      </c>
      <c r="AL5" s="6"/>
    </row>
    <row r="6" ht="24.0" customHeight="1">
      <c r="A6" s="6"/>
      <c r="B6" s="13"/>
      <c r="C6" s="13"/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3"/>
      <c r="K6" s="6"/>
      <c r="L6" s="13"/>
      <c r="M6" s="13"/>
      <c r="N6" s="14" t="s">
        <v>19</v>
      </c>
      <c r="O6" s="14" t="s">
        <v>20</v>
      </c>
      <c r="P6" s="14" t="s">
        <v>21</v>
      </c>
      <c r="Q6" s="13"/>
      <c r="R6" s="6"/>
      <c r="S6" s="13"/>
      <c r="T6" s="13"/>
      <c r="U6" s="14" t="s">
        <v>22</v>
      </c>
      <c r="V6" s="14" t="s">
        <v>23</v>
      </c>
      <c r="W6" s="14" t="s">
        <v>24</v>
      </c>
      <c r="X6" s="13"/>
      <c r="Y6" s="6"/>
      <c r="Z6" s="13"/>
      <c r="AA6" s="13"/>
      <c r="AB6" s="14" t="s">
        <v>22</v>
      </c>
      <c r="AC6" s="14" t="s">
        <v>23</v>
      </c>
      <c r="AD6" s="14" t="s">
        <v>24</v>
      </c>
      <c r="AE6" s="13"/>
      <c r="AF6" s="6"/>
      <c r="AG6" s="13"/>
      <c r="AH6" s="13"/>
      <c r="AI6" s="14" t="s">
        <v>25</v>
      </c>
      <c r="AJ6" s="14" t="s">
        <v>26</v>
      </c>
      <c r="AK6" s="13"/>
      <c r="AL6" s="6"/>
    </row>
    <row r="7" ht="19.5" customHeight="1">
      <c r="A7" s="15"/>
      <c r="B7" s="16">
        <v>1.0</v>
      </c>
      <c r="C7" s="17" t="s">
        <v>27</v>
      </c>
      <c r="D7" s="18">
        <v>213.0</v>
      </c>
      <c r="E7" s="18">
        <v>41.0</v>
      </c>
      <c r="F7" s="18">
        <v>19.0</v>
      </c>
      <c r="G7" s="18">
        <v>31.0</v>
      </c>
      <c r="H7" s="18">
        <v>22.0</v>
      </c>
      <c r="I7" s="18">
        <v>19.0</v>
      </c>
      <c r="J7" s="18">
        <f t="shared" ref="J7:J33" si="1">SUM(D7:I7)</f>
        <v>345</v>
      </c>
      <c r="K7" s="15"/>
      <c r="L7" s="16">
        <v>1.0</v>
      </c>
      <c r="M7" s="17" t="s">
        <v>27</v>
      </c>
      <c r="N7" s="18">
        <v>62.0</v>
      </c>
      <c r="O7" s="18">
        <v>4.0</v>
      </c>
      <c r="P7" s="18">
        <v>19.0</v>
      </c>
      <c r="Q7" s="18">
        <f t="shared" ref="Q7:Q33" si="2">SUM(N7:P7)</f>
        <v>85</v>
      </c>
      <c r="R7" s="15"/>
      <c r="S7" s="16">
        <v>1.0</v>
      </c>
      <c r="T7" s="17" t="s">
        <v>27</v>
      </c>
      <c r="U7" s="18">
        <v>18.0</v>
      </c>
      <c r="V7" s="18">
        <v>1.0</v>
      </c>
      <c r="W7" s="18">
        <v>4.0</v>
      </c>
      <c r="X7" s="18">
        <f t="shared" ref="X7:X33" si="3">SUM(U7:W7)</f>
        <v>23</v>
      </c>
      <c r="Y7" s="15"/>
      <c r="Z7" s="16">
        <v>1.0</v>
      </c>
      <c r="AA7" s="17" t="s">
        <v>27</v>
      </c>
      <c r="AB7" s="18">
        <v>1.0</v>
      </c>
      <c r="AC7" s="18">
        <v>2.0</v>
      </c>
      <c r="AD7" s="18">
        <v>0.0</v>
      </c>
      <c r="AE7" s="18">
        <f t="shared" ref="AE7:AE33" si="4">SUM(AB7:AD7)</f>
        <v>3</v>
      </c>
      <c r="AF7" s="15"/>
      <c r="AG7" s="16">
        <v>1.0</v>
      </c>
      <c r="AH7" s="17" t="s">
        <v>27</v>
      </c>
      <c r="AI7" s="18">
        <v>5.0</v>
      </c>
      <c r="AJ7" s="18">
        <v>5.0</v>
      </c>
      <c r="AK7" s="18">
        <v>10.0</v>
      </c>
      <c r="AL7" s="15"/>
    </row>
    <row r="8" ht="19.5" customHeight="1">
      <c r="A8" s="15"/>
      <c r="B8" s="16">
        <v>2.0</v>
      </c>
      <c r="C8" s="17" t="s">
        <v>28</v>
      </c>
      <c r="D8" s="18">
        <v>154.0</v>
      </c>
      <c r="E8" s="18">
        <v>18.0</v>
      </c>
      <c r="F8" s="18">
        <v>8.0</v>
      </c>
      <c r="G8" s="18">
        <v>5.0</v>
      </c>
      <c r="H8" s="18">
        <v>5.0</v>
      </c>
      <c r="I8" s="18">
        <v>5.0</v>
      </c>
      <c r="J8" s="18">
        <f t="shared" si="1"/>
        <v>195</v>
      </c>
      <c r="K8" s="15"/>
      <c r="L8" s="16">
        <v>2.0</v>
      </c>
      <c r="M8" s="17" t="s">
        <v>28</v>
      </c>
      <c r="N8" s="18">
        <v>6.0</v>
      </c>
      <c r="O8" s="18">
        <v>6.0</v>
      </c>
      <c r="P8" s="18">
        <v>7.0</v>
      </c>
      <c r="Q8" s="18">
        <f t="shared" si="2"/>
        <v>19</v>
      </c>
      <c r="R8" s="15"/>
      <c r="S8" s="16">
        <v>2.0</v>
      </c>
      <c r="T8" s="17" t="s">
        <v>28</v>
      </c>
      <c r="U8" s="18">
        <v>7.0</v>
      </c>
      <c r="V8" s="18">
        <v>10.0</v>
      </c>
      <c r="W8" s="18">
        <v>11.0</v>
      </c>
      <c r="X8" s="18">
        <f t="shared" si="3"/>
        <v>28</v>
      </c>
      <c r="Y8" s="15"/>
      <c r="Z8" s="16">
        <v>2.0</v>
      </c>
      <c r="AA8" s="17" t="s">
        <v>28</v>
      </c>
      <c r="AB8" s="18">
        <v>8.0</v>
      </c>
      <c r="AC8" s="18">
        <v>15.0</v>
      </c>
      <c r="AD8" s="18">
        <v>16.0</v>
      </c>
      <c r="AE8" s="18">
        <f t="shared" si="4"/>
        <v>39</v>
      </c>
      <c r="AF8" s="15"/>
      <c r="AG8" s="16">
        <v>2.0</v>
      </c>
      <c r="AH8" s="17" t="s">
        <v>28</v>
      </c>
      <c r="AI8" s="18">
        <v>9.0</v>
      </c>
      <c r="AJ8" s="18">
        <v>3.0</v>
      </c>
      <c r="AK8" s="18">
        <v>12.0</v>
      </c>
      <c r="AL8" s="15"/>
    </row>
    <row r="9" ht="19.5" customHeight="1">
      <c r="A9" s="15"/>
      <c r="B9" s="16">
        <v>3.0</v>
      </c>
      <c r="C9" s="17" t="s">
        <v>29</v>
      </c>
      <c r="D9" s="18">
        <v>418.0</v>
      </c>
      <c r="E9" s="18">
        <v>38.0</v>
      </c>
      <c r="F9" s="18">
        <v>27.0</v>
      </c>
      <c r="G9" s="18">
        <v>25.0</v>
      </c>
      <c r="H9" s="18">
        <v>22.0</v>
      </c>
      <c r="I9" s="18">
        <v>15.0</v>
      </c>
      <c r="J9" s="18">
        <f t="shared" si="1"/>
        <v>545</v>
      </c>
      <c r="K9" s="15"/>
      <c r="L9" s="16">
        <v>3.0</v>
      </c>
      <c r="M9" s="17" t="s">
        <v>29</v>
      </c>
      <c r="N9" s="18">
        <v>62.0</v>
      </c>
      <c r="O9" s="18">
        <v>3.0</v>
      </c>
      <c r="P9" s="18">
        <v>8.0</v>
      </c>
      <c r="Q9" s="18">
        <f t="shared" si="2"/>
        <v>73</v>
      </c>
      <c r="R9" s="15"/>
      <c r="S9" s="16">
        <v>3.0</v>
      </c>
      <c r="T9" s="17" t="s">
        <v>29</v>
      </c>
      <c r="U9" s="18">
        <v>7.0</v>
      </c>
      <c r="V9" s="18">
        <v>1.0</v>
      </c>
      <c r="W9" s="18">
        <v>6.0</v>
      </c>
      <c r="X9" s="18">
        <f t="shared" si="3"/>
        <v>14</v>
      </c>
      <c r="Y9" s="15"/>
      <c r="Z9" s="16">
        <v>3.0</v>
      </c>
      <c r="AA9" s="17" t="s">
        <v>29</v>
      </c>
      <c r="AB9" s="18">
        <v>10.0</v>
      </c>
      <c r="AC9" s="18">
        <v>3.0</v>
      </c>
      <c r="AD9" s="18">
        <v>9.0</v>
      </c>
      <c r="AE9" s="18">
        <f t="shared" si="4"/>
        <v>22</v>
      </c>
      <c r="AF9" s="15"/>
      <c r="AG9" s="16">
        <v>3.0</v>
      </c>
      <c r="AH9" s="17" t="s">
        <v>29</v>
      </c>
      <c r="AI9" s="18">
        <v>0.0</v>
      </c>
      <c r="AJ9" s="18">
        <v>0.0</v>
      </c>
      <c r="AK9" s="18">
        <v>0.0</v>
      </c>
      <c r="AL9" s="15"/>
    </row>
    <row r="10" ht="19.5" customHeight="1">
      <c r="A10" s="15"/>
      <c r="B10" s="16">
        <v>4.0</v>
      </c>
      <c r="C10" s="17" t="s">
        <v>30</v>
      </c>
      <c r="D10" s="18">
        <v>324.0</v>
      </c>
      <c r="E10" s="18">
        <v>52.0</v>
      </c>
      <c r="F10" s="18">
        <v>27.0</v>
      </c>
      <c r="G10" s="18">
        <v>31.0</v>
      </c>
      <c r="H10" s="18">
        <v>70.0</v>
      </c>
      <c r="I10" s="18">
        <v>29.0</v>
      </c>
      <c r="J10" s="18">
        <f t="shared" si="1"/>
        <v>533</v>
      </c>
      <c r="K10" s="15"/>
      <c r="L10" s="16">
        <v>4.0</v>
      </c>
      <c r="M10" s="17" t="s">
        <v>30</v>
      </c>
      <c r="N10" s="18">
        <v>126.0</v>
      </c>
      <c r="O10" s="18">
        <v>73.0</v>
      </c>
      <c r="P10" s="18">
        <v>55.0</v>
      </c>
      <c r="Q10" s="18">
        <f t="shared" si="2"/>
        <v>254</v>
      </c>
      <c r="R10" s="15"/>
      <c r="S10" s="16">
        <v>4.0</v>
      </c>
      <c r="T10" s="17" t="s">
        <v>30</v>
      </c>
      <c r="U10" s="18">
        <v>17.0</v>
      </c>
      <c r="V10" s="18">
        <v>2.0</v>
      </c>
      <c r="W10" s="18">
        <v>5.0</v>
      </c>
      <c r="X10" s="18">
        <f t="shared" si="3"/>
        <v>24</v>
      </c>
      <c r="Y10" s="15"/>
      <c r="Z10" s="16">
        <v>4.0</v>
      </c>
      <c r="AA10" s="17" t="s">
        <v>30</v>
      </c>
      <c r="AB10" s="18">
        <v>42.0</v>
      </c>
      <c r="AC10" s="18">
        <v>36.0</v>
      </c>
      <c r="AD10" s="18">
        <v>21.0</v>
      </c>
      <c r="AE10" s="18">
        <f t="shared" si="4"/>
        <v>99</v>
      </c>
      <c r="AF10" s="15"/>
      <c r="AG10" s="16">
        <v>4.0</v>
      </c>
      <c r="AH10" s="17" t="s">
        <v>30</v>
      </c>
      <c r="AI10" s="18">
        <v>5.0</v>
      </c>
      <c r="AJ10" s="18">
        <v>2.0</v>
      </c>
      <c r="AK10" s="18">
        <v>7.0</v>
      </c>
      <c r="AL10" s="15"/>
    </row>
    <row r="11" ht="19.5" customHeight="1">
      <c r="A11" s="15"/>
      <c r="B11" s="16">
        <v>5.0</v>
      </c>
      <c r="C11" s="17" t="s">
        <v>31</v>
      </c>
      <c r="D11" s="18">
        <v>43.0</v>
      </c>
      <c r="E11" s="18">
        <v>1.0</v>
      </c>
      <c r="F11" s="18">
        <v>4.0</v>
      </c>
      <c r="G11" s="18">
        <v>1.0</v>
      </c>
      <c r="H11" s="18">
        <v>0.0</v>
      </c>
      <c r="I11" s="18">
        <v>0.0</v>
      </c>
      <c r="J11" s="18">
        <f t="shared" si="1"/>
        <v>49</v>
      </c>
      <c r="K11" s="15"/>
      <c r="L11" s="16">
        <v>5.0</v>
      </c>
      <c r="M11" s="17" t="s">
        <v>31</v>
      </c>
      <c r="N11" s="18">
        <v>7.0</v>
      </c>
      <c r="O11" s="18">
        <v>2.0</v>
      </c>
      <c r="P11" s="18">
        <v>3.0</v>
      </c>
      <c r="Q11" s="18">
        <f t="shared" si="2"/>
        <v>12</v>
      </c>
      <c r="R11" s="15"/>
      <c r="S11" s="16">
        <v>5.0</v>
      </c>
      <c r="T11" s="17" t="s">
        <v>31</v>
      </c>
      <c r="U11" s="18">
        <v>2.0</v>
      </c>
      <c r="V11" s="18">
        <v>1.0</v>
      </c>
      <c r="W11" s="18">
        <v>2.0</v>
      </c>
      <c r="X11" s="18">
        <f t="shared" si="3"/>
        <v>5</v>
      </c>
      <c r="Y11" s="15"/>
      <c r="Z11" s="16">
        <v>5.0</v>
      </c>
      <c r="AA11" s="17" t="s">
        <v>31</v>
      </c>
      <c r="AB11" s="18">
        <v>3.0</v>
      </c>
      <c r="AC11" s="18">
        <v>1.0</v>
      </c>
      <c r="AD11" s="18">
        <v>10.0</v>
      </c>
      <c r="AE11" s="18">
        <f t="shared" si="4"/>
        <v>14</v>
      </c>
      <c r="AF11" s="15"/>
      <c r="AG11" s="16">
        <v>5.0</v>
      </c>
      <c r="AH11" s="17" t="s">
        <v>31</v>
      </c>
      <c r="AI11" s="18">
        <v>1.0</v>
      </c>
      <c r="AJ11" s="18">
        <v>6.0</v>
      </c>
      <c r="AK11" s="18">
        <v>7.0</v>
      </c>
      <c r="AL11" s="15"/>
    </row>
    <row r="12" ht="19.5" customHeight="1">
      <c r="A12" s="15"/>
      <c r="B12" s="16">
        <v>6.0</v>
      </c>
      <c r="C12" s="17" t="s">
        <v>32</v>
      </c>
      <c r="D12" s="18">
        <v>286.0</v>
      </c>
      <c r="E12" s="18">
        <v>46.0</v>
      </c>
      <c r="F12" s="18">
        <v>19.0</v>
      </c>
      <c r="G12" s="18">
        <v>14.0</v>
      </c>
      <c r="H12" s="18">
        <v>17.0</v>
      </c>
      <c r="I12" s="18">
        <v>12.0</v>
      </c>
      <c r="J12" s="18">
        <f t="shared" si="1"/>
        <v>394</v>
      </c>
      <c r="K12" s="15"/>
      <c r="L12" s="16">
        <v>6.0</v>
      </c>
      <c r="M12" s="17" t="s">
        <v>32</v>
      </c>
      <c r="N12" s="18">
        <v>114.0</v>
      </c>
      <c r="O12" s="18">
        <v>16.0</v>
      </c>
      <c r="P12" s="18">
        <v>14.0</v>
      </c>
      <c r="Q12" s="18">
        <f t="shared" si="2"/>
        <v>144</v>
      </c>
      <c r="R12" s="15"/>
      <c r="S12" s="16">
        <v>6.0</v>
      </c>
      <c r="T12" s="17" t="s">
        <v>32</v>
      </c>
      <c r="U12" s="18">
        <v>12.0</v>
      </c>
      <c r="V12" s="18">
        <v>10.0</v>
      </c>
      <c r="W12" s="18">
        <v>5.0</v>
      </c>
      <c r="X12" s="18">
        <f t="shared" si="3"/>
        <v>27</v>
      </c>
      <c r="Y12" s="15"/>
      <c r="Z12" s="16">
        <v>6.0</v>
      </c>
      <c r="AA12" s="17" t="s">
        <v>32</v>
      </c>
      <c r="AB12" s="18">
        <v>21.0</v>
      </c>
      <c r="AC12" s="18">
        <v>19.0</v>
      </c>
      <c r="AD12" s="18">
        <v>46.0</v>
      </c>
      <c r="AE12" s="18">
        <f t="shared" si="4"/>
        <v>86</v>
      </c>
      <c r="AF12" s="15"/>
      <c r="AG12" s="16">
        <v>6.0</v>
      </c>
      <c r="AH12" s="17" t="s">
        <v>32</v>
      </c>
      <c r="AI12" s="18">
        <v>0.0</v>
      </c>
      <c r="AJ12" s="18">
        <v>1.0</v>
      </c>
      <c r="AK12" s="18">
        <v>1.0</v>
      </c>
      <c r="AL12" s="15"/>
    </row>
    <row r="13" ht="19.5" customHeight="1">
      <c r="A13" s="15"/>
      <c r="B13" s="16">
        <v>7.0</v>
      </c>
      <c r="C13" s="17" t="s">
        <v>33</v>
      </c>
      <c r="D13" s="18">
        <v>162.0</v>
      </c>
      <c r="E13" s="18">
        <v>21.0</v>
      </c>
      <c r="F13" s="18">
        <v>12.0</v>
      </c>
      <c r="G13" s="18">
        <v>12.0</v>
      </c>
      <c r="H13" s="18">
        <v>9.0</v>
      </c>
      <c r="I13" s="18">
        <v>12.0</v>
      </c>
      <c r="J13" s="18">
        <f t="shared" si="1"/>
        <v>228</v>
      </c>
      <c r="K13" s="15"/>
      <c r="L13" s="16">
        <v>7.0</v>
      </c>
      <c r="M13" s="17" t="s">
        <v>33</v>
      </c>
      <c r="N13" s="18">
        <v>28.0</v>
      </c>
      <c r="O13" s="18">
        <v>6.0</v>
      </c>
      <c r="P13" s="18">
        <v>5.0</v>
      </c>
      <c r="Q13" s="18">
        <f t="shared" si="2"/>
        <v>39</v>
      </c>
      <c r="R13" s="15"/>
      <c r="S13" s="16">
        <v>7.0</v>
      </c>
      <c r="T13" s="17" t="s">
        <v>33</v>
      </c>
      <c r="U13" s="18">
        <v>3.0</v>
      </c>
      <c r="V13" s="18">
        <v>0.0</v>
      </c>
      <c r="W13" s="18">
        <v>0.0</v>
      </c>
      <c r="X13" s="18">
        <f t="shared" si="3"/>
        <v>3</v>
      </c>
      <c r="Y13" s="15"/>
      <c r="Z13" s="16">
        <v>7.0</v>
      </c>
      <c r="AA13" s="17" t="s">
        <v>33</v>
      </c>
      <c r="AB13" s="18">
        <v>11.0</v>
      </c>
      <c r="AC13" s="18">
        <v>3.0</v>
      </c>
      <c r="AD13" s="18">
        <v>21.0</v>
      </c>
      <c r="AE13" s="18">
        <f t="shared" si="4"/>
        <v>35</v>
      </c>
      <c r="AF13" s="15"/>
      <c r="AG13" s="16">
        <v>7.0</v>
      </c>
      <c r="AH13" s="17" t="s">
        <v>33</v>
      </c>
      <c r="AI13" s="18">
        <v>1.0</v>
      </c>
      <c r="AJ13" s="18">
        <v>0.0</v>
      </c>
      <c r="AK13" s="18">
        <v>1.0</v>
      </c>
      <c r="AL13" s="15"/>
    </row>
    <row r="14" ht="19.5" customHeight="1">
      <c r="A14" s="15"/>
      <c r="B14" s="16">
        <v>8.0</v>
      </c>
      <c r="C14" s="17" t="s">
        <v>34</v>
      </c>
      <c r="D14" s="18">
        <v>260.0</v>
      </c>
      <c r="E14" s="18">
        <v>20.0</v>
      </c>
      <c r="F14" s="18">
        <v>4.0</v>
      </c>
      <c r="G14" s="18">
        <v>3.0</v>
      </c>
      <c r="H14" s="18">
        <v>80.0</v>
      </c>
      <c r="I14" s="18">
        <v>16.0</v>
      </c>
      <c r="J14" s="18">
        <f t="shared" si="1"/>
        <v>383</v>
      </c>
      <c r="K14" s="15"/>
      <c r="L14" s="16">
        <v>8.0</v>
      </c>
      <c r="M14" s="17" t="s">
        <v>34</v>
      </c>
      <c r="N14" s="18">
        <v>141.0</v>
      </c>
      <c r="O14" s="18">
        <v>51.0</v>
      </c>
      <c r="P14" s="18">
        <v>26.0</v>
      </c>
      <c r="Q14" s="18">
        <f t="shared" si="2"/>
        <v>218</v>
      </c>
      <c r="R14" s="15"/>
      <c r="S14" s="16">
        <v>8.0</v>
      </c>
      <c r="T14" s="17" t="s">
        <v>34</v>
      </c>
      <c r="U14" s="18">
        <v>39.0</v>
      </c>
      <c r="V14" s="18">
        <v>10.0</v>
      </c>
      <c r="W14" s="18">
        <v>25.0</v>
      </c>
      <c r="X14" s="18">
        <f t="shared" si="3"/>
        <v>74</v>
      </c>
      <c r="Y14" s="15"/>
      <c r="Z14" s="16">
        <v>8.0</v>
      </c>
      <c r="AA14" s="17" t="s">
        <v>34</v>
      </c>
      <c r="AB14" s="18">
        <v>16.0</v>
      </c>
      <c r="AC14" s="18">
        <v>10.0</v>
      </c>
      <c r="AD14" s="18">
        <v>26.0</v>
      </c>
      <c r="AE14" s="18">
        <f t="shared" si="4"/>
        <v>52</v>
      </c>
      <c r="AF14" s="15"/>
      <c r="AG14" s="16">
        <v>8.0</v>
      </c>
      <c r="AH14" s="17" t="s">
        <v>34</v>
      </c>
      <c r="AI14" s="18">
        <v>0.0</v>
      </c>
      <c r="AJ14" s="18">
        <v>3.0</v>
      </c>
      <c r="AK14" s="18">
        <v>3.0</v>
      </c>
      <c r="AL14" s="15"/>
    </row>
    <row r="15" ht="19.5" customHeight="1">
      <c r="A15" s="15"/>
      <c r="B15" s="16">
        <v>9.0</v>
      </c>
      <c r="C15" s="17" t="s">
        <v>35</v>
      </c>
      <c r="D15" s="18">
        <v>131.0</v>
      </c>
      <c r="E15" s="18">
        <v>19.0</v>
      </c>
      <c r="F15" s="18">
        <v>14.0</v>
      </c>
      <c r="G15" s="18">
        <v>10.0</v>
      </c>
      <c r="H15" s="18">
        <v>15.0</v>
      </c>
      <c r="I15" s="18">
        <v>15.0</v>
      </c>
      <c r="J15" s="18">
        <f t="shared" si="1"/>
        <v>204</v>
      </c>
      <c r="K15" s="15"/>
      <c r="L15" s="16">
        <v>9.0</v>
      </c>
      <c r="M15" s="17" t="s">
        <v>35</v>
      </c>
      <c r="N15" s="18">
        <v>34.0</v>
      </c>
      <c r="O15" s="18">
        <v>9.0</v>
      </c>
      <c r="P15" s="18">
        <v>14.0</v>
      </c>
      <c r="Q15" s="18">
        <f t="shared" si="2"/>
        <v>57</v>
      </c>
      <c r="R15" s="15"/>
      <c r="S15" s="16">
        <v>9.0</v>
      </c>
      <c r="T15" s="17" t="s">
        <v>35</v>
      </c>
      <c r="U15" s="18">
        <v>6.0</v>
      </c>
      <c r="V15" s="18">
        <v>0.0</v>
      </c>
      <c r="W15" s="18">
        <v>2.0</v>
      </c>
      <c r="X15" s="18">
        <f t="shared" si="3"/>
        <v>8</v>
      </c>
      <c r="Y15" s="15"/>
      <c r="Z15" s="16">
        <v>9.0</v>
      </c>
      <c r="AA15" s="17" t="s">
        <v>35</v>
      </c>
      <c r="AB15" s="18">
        <v>6.0</v>
      </c>
      <c r="AC15" s="18">
        <v>6.0</v>
      </c>
      <c r="AD15" s="18">
        <v>32.0</v>
      </c>
      <c r="AE15" s="18">
        <f t="shared" si="4"/>
        <v>44</v>
      </c>
      <c r="AF15" s="15"/>
      <c r="AG15" s="16">
        <v>9.0</v>
      </c>
      <c r="AH15" s="17" t="s">
        <v>35</v>
      </c>
      <c r="AI15" s="18">
        <v>1.0</v>
      </c>
      <c r="AJ15" s="18">
        <v>1.0</v>
      </c>
      <c r="AK15" s="18">
        <v>2.0</v>
      </c>
      <c r="AL15" s="15"/>
    </row>
    <row r="16" ht="19.5" customHeight="1">
      <c r="A16" s="15"/>
      <c r="B16" s="16">
        <v>10.0</v>
      </c>
      <c r="C16" s="17" t="s">
        <v>36</v>
      </c>
      <c r="D16" s="18">
        <v>306.0</v>
      </c>
      <c r="E16" s="18">
        <v>47.0</v>
      </c>
      <c r="F16" s="18">
        <v>14.0</v>
      </c>
      <c r="G16" s="18">
        <v>24.0</v>
      </c>
      <c r="H16" s="18">
        <v>12.0</v>
      </c>
      <c r="I16" s="18">
        <v>15.0</v>
      </c>
      <c r="J16" s="18">
        <f t="shared" si="1"/>
        <v>418</v>
      </c>
      <c r="K16" s="15"/>
      <c r="L16" s="16">
        <v>10.0</v>
      </c>
      <c r="M16" s="17" t="s">
        <v>36</v>
      </c>
      <c r="N16" s="18">
        <v>39.0</v>
      </c>
      <c r="O16" s="18">
        <v>9.0</v>
      </c>
      <c r="P16" s="18">
        <v>8.0</v>
      </c>
      <c r="Q16" s="18">
        <f t="shared" si="2"/>
        <v>56</v>
      </c>
      <c r="R16" s="15"/>
      <c r="S16" s="16">
        <v>10.0</v>
      </c>
      <c r="T16" s="17" t="s">
        <v>36</v>
      </c>
      <c r="U16" s="18">
        <v>2.0</v>
      </c>
      <c r="V16" s="18">
        <v>0.0</v>
      </c>
      <c r="W16" s="18">
        <v>1.0</v>
      </c>
      <c r="X16" s="18">
        <f t="shared" si="3"/>
        <v>3</v>
      </c>
      <c r="Y16" s="15"/>
      <c r="Z16" s="16">
        <v>10.0</v>
      </c>
      <c r="AA16" s="17" t="s">
        <v>36</v>
      </c>
      <c r="AB16" s="18">
        <v>14.0</v>
      </c>
      <c r="AC16" s="18">
        <v>4.0</v>
      </c>
      <c r="AD16" s="18">
        <v>24.0</v>
      </c>
      <c r="AE16" s="18">
        <f t="shared" si="4"/>
        <v>42</v>
      </c>
      <c r="AF16" s="15"/>
      <c r="AG16" s="16">
        <v>10.0</v>
      </c>
      <c r="AH16" s="17" t="s">
        <v>36</v>
      </c>
      <c r="AI16" s="18">
        <v>10.0</v>
      </c>
      <c r="AJ16" s="18">
        <v>9.0</v>
      </c>
      <c r="AK16" s="18">
        <v>19.0</v>
      </c>
      <c r="AL16" s="15"/>
    </row>
    <row r="17" ht="19.5" customHeight="1">
      <c r="A17" s="15"/>
      <c r="B17" s="16">
        <v>11.0</v>
      </c>
      <c r="C17" s="17" t="s">
        <v>37</v>
      </c>
      <c r="D17" s="18">
        <v>62.0</v>
      </c>
      <c r="E17" s="18">
        <v>7.0</v>
      </c>
      <c r="F17" s="18">
        <v>3.0</v>
      </c>
      <c r="G17" s="18">
        <v>5.0</v>
      </c>
      <c r="H17" s="18">
        <v>6.0</v>
      </c>
      <c r="I17" s="18">
        <v>1.0</v>
      </c>
      <c r="J17" s="18">
        <f t="shared" si="1"/>
        <v>84</v>
      </c>
      <c r="K17" s="15"/>
      <c r="L17" s="16">
        <v>11.0</v>
      </c>
      <c r="M17" s="17" t="s">
        <v>37</v>
      </c>
      <c r="N17" s="18">
        <v>11.0</v>
      </c>
      <c r="O17" s="18">
        <v>9.0</v>
      </c>
      <c r="P17" s="18">
        <v>10.0</v>
      </c>
      <c r="Q17" s="18">
        <f t="shared" si="2"/>
        <v>30</v>
      </c>
      <c r="R17" s="15"/>
      <c r="S17" s="16">
        <v>11.0</v>
      </c>
      <c r="T17" s="17" t="s">
        <v>37</v>
      </c>
      <c r="U17" s="18">
        <v>1.0</v>
      </c>
      <c r="V17" s="18">
        <v>0.0</v>
      </c>
      <c r="W17" s="18">
        <v>2.0</v>
      </c>
      <c r="X17" s="18">
        <f t="shared" si="3"/>
        <v>3</v>
      </c>
      <c r="Y17" s="15"/>
      <c r="Z17" s="16">
        <v>11.0</v>
      </c>
      <c r="AA17" s="17" t="s">
        <v>37</v>
      </c>
      <c r="AB17" s="18">
        <v>17.0</v>
      </c>
      <c r="AC17" s="18">
        <v>3.0</v>
      </c>
      <c r="AD17" s="18">
        <v>10.0</v>
      </c>
      <c r="AE17" s="18">
        <f t="shared" si="4"/>
        <v>30</v>
      </c>
      <c r="AF17" s="15"/>
      <c r="AG17" s="16">
        <v>11.0</v>
      </c>
      <c r="AH17" s="17" t="s">
        <v>37</v>
      </c>
      <c r="AI17" s="18">
        <v>3.0</v>
      </c>
      <c r="AJ17" s="18">
        <v>2.0</v>
      </c>
      <c r="AK17" s="18">
        <v>5.0</v>
      </c>
      <c r="AL17" s="15"/>
    </row>
    <row r="18" ht="19.5" customHeight="1">
      <c r="A18" s="15"/>
      <c r="B18" s="16">
        <v>12.0</v>
      </c>
      <c r="C18" s="17" t="s">
        <v>38</v>
      </c>
      <c r="D18" s="18">
        <v>42.0</v>
      </c>
      <c r="E18" s="18">
        <v>9.0</v>
      </c>
      <c r="F18" s="18">
        <v>4.0</v>
      </c>
      <c r="G18" s="18">
        <v>7.0</v>
      </c>
      <c r="H18" s="18">
        <v>8.0</v>
      </c>
      <c r="I18" s="18">
        <v>1.0</v>
      </c>
      <c r="J18" s="18">
        <f t="shared" si="1"/>
        <v>71</v>
      </c>
      <c r="K18" s="15"/>
      <c r="L18" s="16">
        <v>12.0</v>
      </c>
      <c r="M18" s="17" t="s">
        <v>38</v>
      </c>
      <c r="N18" s="18">
        <v>15.0</v>
      </c>
      <c r="O18" s="18">
        <v>8.0</v>
      </c>
      <c r="P18" s="18">
        <v>3.0</v>
      </c>
      <c r="Q18" s="18">
        <f t="shared" si="2"/>
        <v>26</v>
      </c>
      <c r="R18" s="15"/>
      <c r="S18" s="16">
        <v>12.0</v>
      </c>
      <c r="T18" s="17" t="s">
        <v>38</v>
      </c>
      <c r="U18" s="18">
        <v>5.0</v>
      </c>
      <c r="V18" s="18">
        <v>0.0</v>
      </c>
      <c r="W18" s="18">
        <v>1.0</v>
      </c>
      <c r="X18" s="18">
        <f t="shared" si="3"/>
        <v>6</v>
      </c>
      <c r="Y18" s="15"/>
      <c r="Z18" s="16">
        <v>12.0</v>
      </c>
      <c r="AA18" s="17" t="s">
        <v>38</v>
      </c>
      <c r="AB18" s="18">
        <v>10.0</v>
      </c>
      <c r="AC18" s="18">
        <v>1.0</v>
      </c>
      <c r="AD18" s="18">
        <v>4.0</v>
      </c>
      <c r="AE18" s="18">
        <f t="shared" si="4"/>
        <v>15</v>
      </c>
      <c r="AF18" s="15"/>
      <c r="AG18" s="16">
        <v>12.0</v>
      </c>
      <c r="AH18" s="17" t="s">
        <v>38</v>
      </c>
      <c r="AI18" s="18">
        <v>1.0</v>
      </c>
      <c r="AJ18" s="18">
        <v>2.0</v>
      </c>
      <c r="AK18" s="18">
        <v>3.0</v>
      </c>
      <c r="AL18" s="15"/>
    </row>
    <row r="19" ht="19.5" customHeight="1">
      <c r="A19" s="15"/>
      <c r="B19" s="16">
        <v>13.0</v>
      </c>
      <c r="C19" s="17" t="s">
        <v>39</v>
      </c>
      <c r="D19" s="18">
        <v>20.0</v>
      </c>
      <c r="E19" s="18">
        <v>1.0</v>
      </c>
      <c r="F19" s="18">
        <v>0.0</v>
      </c>
      <c r="G19" s="18">
        <v>2.0</v>
      </c>
      <c r="H19" s="18">
        <v>0.0</v>
      </c>
      <c r="I19" s="18">
        <v>0.0</v>
      </c>
      <c r="J19" s="18">
        <f t="shared" si="1"/>
        <v>23</v>
      </c>
      <c r="K19" s="15"/>
      <c r="L19" s="16">
        <v>13.0</v>
      </c>
      <c r="M19" s="17" t="s">
        <v>39</v>
      </c>
      <c r="N19" s="18">
        <v>4.0</v>
      </c>
      <c r="O19" s="18">
        <v>2.0</v>
      </c>
      <c r="P19" s="18">
        <v>2.0</v>
      </c>
      <c r="Q19" s="18">
        <f t="shared" si="2"/>
        <v>8</v>
      </c>
      <c r="R19" s="15"/>
      <c r="S19" s="16">
        <v>13.0</v>
      </c>
      <c r="T19" s="17" t="s">
        <v>39</v>
      </c>
      <c r="U19" s="18">
        <v>0.0</v>
      </c>
      <c r="V19" s="18">
        <v>0.0</v>
      </c>
      <c r="W19" s="18">
        <v>0.0</v>
      </c>
      <c r="X19" s="18">
        <f t="shared" si="3"/>
        <v>0</v>
      </c>
      <c r="Y19" s="15"/>
      <c r="Z19" s="16">
        <v>13.0</v>
      </c>
      <c r="AA19" s="17" t="s">
        <v>39</v>
      </c>
      <c r="AB19" s="18">
        <v>5.0</v>
      </c>
      <c r="AC19" s="18">
        <v>3.0</v>
      </c>
      <c r="AD19" s="18">
        <v>2.0</v>
      </c>
      <c r="AE19" s="18">
        <f t="shared" si="4"/>
        <v>10</v>
      </c>
      <c r="AF19" s="15"/>
      <c r="AG19" s="16">
        <v>13.0</v>
      </c>
      <c r="AH19" s="17" t="s">
        <v>39</v>
      </c>
      <c r="AI19" s="18">
        <v>0.0</v>
      </c>
      <c r="AJ19" s="18">
        <v>0.0</v>
      </c>
      <c r="AK19" s="18">
        <v>0.0</v>
      </c>
      <c r="AL19" s="15"/>
    </row>
    <row r="20" ht="19.5" customHeight="1">
      <c r="A20" s="15"/>
      <c r="B20" s="16">
        <v>14.0</v>
      </c>
      <c r="C20" s="17" t="s">
        <v>40</v>
      </c>
      <c r="D20" s="18">
        <v>49.0</v>
      </c>
      <c r="E20" s="18">
        <v>9.0</v>
      </c>
      <c r="F20" s="18">
        <v>16.0</v>
      </c>
      <c r="G20" s="18">
        <v>2.0</v>
      </c>
      <c r="H20" s="18">
        <v>7.0</v>
      </c>
      <c r="I20" s="18">
        <v>3.0</v>
      </c>
      <c r="J20" s="18">
        <f t="shared" si="1"/>
        <v>86</v>
      </c>
      <c r="K20" s="15"/>
      <c r="L20" s="16">
        <v>14.0</v>
      </c>
      <c r="M20" s="17" t="s">
        <v>40</v>
      </c>
      <c r="N20" s="18">
        <v>1.0</v>
      </c>
      <c r="O20" s="18">
        <v>4.0</v>
      </c>
      <c r="P20" s="18">
        <v>2.0</v>
      </c>
      <c r="Q20" s="18">
        <f t="shared" si="2"/>
        <v>7</v>
      </c>
      <c r="R20" s="15"/>
      <c r="S20" s="16">
        <v>14.0</v>
      </c>
      <c r="T20" s="17" t="s">
        <v>40</v>
      </c>
      <c r="U20" s="18">
        <v>0.0</v>
      </c>
      <c r="V20" s="18">
        <v>0.0</v>
      </c>
      <c r="W20" s="18">
        <v>1.0</v>
      </c>
      <c r="X20" s="18">
        <f t="shared" si="3"/>
        <v>1</v>
      </c>
      <c r="Y20" s="15"/>
      <c r="Z20" s="16">
        <v>14.0</v>
      </c>
      <c r="AA20" s="17" t="s">
        <v>40</v>
      </c>
      <c r="AB20" s="18">
        <v>12.0</v>
      </c>
      <c r="AC20" s="18">
        <v>0.0</v>
      </c>
      <c r="AD20" s="18">
        <v>36.0</v>
      </c>
      <c r="AE20" s="18">
        <f t="shared" si="4"/>
        <v>48</v>
      </c>
      <c r="AF20" s="15"/>
      <c r="AG20" s="16">
        <v>14.0</v>
      </c>
      <c r="AH20" s="17" t="s">
        <v>40</v>
      </c>
      <c r="AI20" s="18">
        <v>1.0</v>
      </c>
      <c r="AJ20" s="18">
        <v>0.0</v>
      </c>
      <c r="AK20" s="18">
        <v>1.0</v>
      </c>
      <c r="AL20" s="15"/>
    </row>
    <row r="21" ht="19.5" customHeight="1">
      <c r="A21" s="15"/>
      <c r="B21" s="16">
        <v>15.0</v>
      </c>
      <c r="C21" s="17" t="s">
        <v>41</v>
      </c>
      <c r="D21" s="18">
        <v>183.0</v>
      </c>
      <c r="E21" s="18">
        <v>9.0</v>
      </c>
      <c r="F21" s="18">
        <v>9.0</v>
      </c>
      <c r="G21" s="18">
        <v>10.0</v>
      </c>
      <c r="H21" s="18">
        <v>7.0</v>
      </c>
      <c r="I21" s="18">
        <v>3.0</v>
      </c>
      <c r="J21" s="18">
        <f t="shared" si="1"/>
        <v>221</v>
      </c>
      <c r="K21" s="15"/>
      <c r="L21" s="16">
        <v>15.0</v>
      </c>
      <c r="M21" s="17" t="s">
        <v>41</v>
      </c>
      <c r="N21" s="18">
        <v>18.0</v>
      </c>
      <c r="O21" s="18">
        <v>4.0</v>
      </c>
      <c r="P21" s="18">
        <v>7.0</v>
      </c>
      <c r="Q21" s="18">
        <f t="shared" si="2"/>
        <v>29</v>
      </c>
      <c r="R21" s="15"/>
      <c r="S21" s="16">
        <v>15.0</v>
      </c>
      <c r="T21" s="17" t="s">
        <v>41</v>
      </c>
      <c r="U21" s="18">
        <v>2.0</v>
      </c>
      <c r="V21" s="18">
        <v>1.0</v>
      </c>
      <c r="W21" s="18">
        <v>3.0</v>
      </c>
      <c r="X21" s="18">
        <f t="shared" si="3"/>
        <v>6</v>
      </c>
      <c r="Y21" s="15"/>
      <c r="Z21" s="16">
        <v>15.0</v>
      </c>
      <c r="AA21" s="17" t="s">
        <v>41</v>
      </c>
      <c r="AB21" s="18">
        <v>51.0</v>
      </c>
      <c r="AC21" s="18">
        <v>10.0</v>
      </c>
      <c r="AD21" s="18">
        <v>16.0</v>
      </c>
      <c r="AE21" s="18">
        <f t="shared" si="4"/>
        <v>77</v>
      </c>
      <c r="AF21" s="15"/>
      <c r="AG21" s="16">
        <v>15.0</v>
      </c>
      <c r="AH21" s="17" t="s">
        <v>41</v>
      </c>
      <c r="AI21" s="18">
        <v>2.0</v>
      </c>
      <c r="AJ21" s="18">
        <v>0.0</v>
      </c>
      <c r="AK21" s="18">
        <v>2.0</v>
      </c>
      <c r="AL21" s="15"/>
    </row>
    <row r="22" ht="19.5" customHeight="1">
      <c r="A22" s="15"/>
      <c r="B22" s="16">
        <v>16.0</v>
      </c>
      <c r="C22" s="17" t="s">
        <v>42</v>
      </c>
      <c r="D22" s="18">
        <v>383.0</v>
      </c>
      <c r="E22" s="18">
        <v>27.0</v>
      </c>
      <c r="F22" s="18">
        <v>32.0</v>
      </c>
      <c r="G22" s="18">
        <v>14.0</v>
      </c>
      <c r="H22" s="18">
        <v>16.0</v>
      </c>
      <c r="I22" s="18">
        <v>13.0</v>
      </c>
      <c r="J22" s="18">
        <f t="shared" si="1"/>
        <v>485</v>
      </c>
      <c r="K22" s="15"/>
      <c r="L22" s="16">
        <v>16.0</v>
      </c>
      <c r="M22" s="17" t="s">
        <v>42</v>
      </c>
      <c r="N22" s="18">
        <v>36.0</v>
      </c>
      <c r="O22" s="18">
        <v>15.0</v>
      </c>
      <c r="P22" s="18">
        <v>9.0</v>
      </c>
      <c r="Q22" s="18">
        <f t="shared" si="2"/>
        <v>60</v>
      </c>
      <c r="R22" s="15"/>
      <c r="S22" s="16">
        <v>16.0</v>
      </c>
      <c r="T22" s="17" t="s">
        <v>42</v>
      </c>
      <c r="U22" s="18">
        <v>8.0</v>
      </c>
      <c r="V22" s="18">
        <v>0.0</v>
      </c>
      <c r="W22" s="18">
        <v>1.0</v>
      </c>
      <c r="X22" s="18">
        <f t="shared" si="3"/>
        <v>9</v>
      </c>
      <c r="Y22" s="15"/>
      <c r="Z22" s="16">
        <v>16.0</v>
      </c>
      <c r="AA22" s="17" t="s">
        <v>42</v>
      </c>
      <c r="AB22" s="18">
        <v>35.0</v>
      </c>
      <c r="AC22" s="18">
        <v>14.0</v>
      </c>
      <c r="AD22" s="18">
        <v>15.0</v>
      </c>
      <c r="AE22" s="18">
        <f t="shared" si="4"/>
        <v>64</v>
      </c>
      <c r="AF22" s="15"/>
      <c r="AG22" s="16">
        <v>16.0</v>
      </c>
      <c r="AH22" s="17" t="s">
        <v>42</v>
      </c>
      <c r="AI22" s="18">
        <v>0.0</v>
      </c>
      <c r="AJ22" s="18">
        <v>1.0</v>
      </c>
      <c r="AK22" s="18">
        <v>1.0</v>
      </c>
      <c r="AL22" s="15"/>
    </row>
    <row r="23" ht="19.5" customHeight="1">
      <c r="A23" s="15"/>
      <c r="B23" s="16">
        <v>17.0</v>
      </c>
      <c r="C23" s="17" t="s">
        <v>43</v>
      </c>
      <c r="D23" s="18">
        <v>63.0</v>
      </c>
      <c r="E23" s="18">
        <v>4.0</v>
      </c>
      <c r="F23" s="18">
        <v>1.0</v>
      </c>
      <c r="G23" s="18">
        <v>4.0</v>
      </c>
      <c r="H23" s="18">
        <v>3.0</v>
      </c>
      <c r="I23" s="18">
        <v>1.0</v>
      </c>
      <c r="J23" s="18">
        <f t="shared" si="1"/>
        <v>76</v>
      </c>
      <c r="K23" s="15"/>
      <c r="L23" s="16">
        <v>17.0</v>
      </c>
      <c r="M23" s="17" t="s">
        <v>43</v>
      </c>
      <c r="N23" s="18">
        <v>9.0</v>
      </c>
      <c r="O23" s="18">
        <v>1.0</v>
      </c>
      <c r="P23" s="18">
        <v>2.0</v>
      </c>
      <c r="Q23" s="18">
        <f t="shared" si="2"/>
        <v>12</v>
      </c>
      <c r="R23" s="15"/>
      <c r="S23" s="16">
        <v>17.0</v>
      </c>
      <c r="T23" s="17" t="s">
        <v>43</v>
      </c>
      <c r="U23" s="18">
        <v>0.0</v>
      </c>
      <c r="V23" s="18">
        <v>0.0</v>
      </c>
      <c r="W23" s="18">
        <v>0.0</v>
      </c>
      <c r="X23" s="18">
        <f t="shared" si="3"/>
        <v>0</v>
      </c>
      <c r="Y23" s="15"/>
      <c r="Z23" s="16">
        <v>17.0</v>
      </c>
      <c r="AA23" s="17" t="s">
        <v>43</v>
      </c>
      <c r="AB23" s="18">
        <v>0.0</v>
      </c>
      <c r="AC23" s="18">
        <v>3.0</v>
      </c>
      <c r="AD23" s="18">
        <v>4.0</v>
      </c>
      <c r="AE23" s="18">
        <f t="shared" si="4"/>
        <v>7</v>
      </c>
      <c r="AF23" s="15"/>
      <c r="AG23" s="16">
        <v>17.0</v>
      </c>
      <c r="AH23" s="17" t="s">
        <v>43</v>
      </c>
      <c r="AI23" s="18">
        <v>1.0</v>
      </c>
      <c r="AJ23" s="18">
        <v>2.0</v>
      </c>
      <c r="AK23" s="18">
        <v>3.0</v>
      </c>
      <c r="AL23" s="15"/>
    </row>
    <row r="24" ht="19.5" customHeight="1">
      <c r="A24" s="15"/>
      <c r="B24" s="16">
        <v>18.0</v>
      </c>
      <c r="C24" s="17" t="s">
        <v>44</v>
      </c>
      <c r="D24" s="18">
        <v>124.0</v>
      </c>
      <c r="E24" s="18">
        <v>9.0</v>
      </c>
      <c r="F24" s="18">
        <v>4.0</v>
      </c>
      <c r="G24" s="18">
        <v>7.0</v>
      </c>
      <c r="H24" s="18">
        <v>6.0</v>
      </c>
      <c r="I24" s="18">
        <v>4.0</v>
      </c>
      <c r="J24" s="18">
        <f t="shared" si="1"/>
        <v>154</v>
      </c>
      <c r="K24" s="15"/>
      <c r="L24" s="16">
        <v>18.0</v>
      </c>
      <c r="M24" s="17" t="s">
        <v>44</v>
      </c>
      <c r="N24" s="18">
        <v>22.0</v>
      </c>
      <c r="O24" s="18">
        <v>7.0</v>
      </c>
      <c r="P24" s="18">
        <v>6.0</v>
      </c>
      <c r="Q24" s="18">
        <f t="shared" si="2"/>
        <v>35</v>
      </c>
      <c r="R24" s="15"/>
      <c r="S24" s="16">
        <v>18.0</v>
      </c>
      <c r="T24" s="17" t="s">
        <v>44</v>
      </c>
      <c r="U24" s="18">
        <v>8.0</v>
      </c>
      <c r="V24" s="18">
        <v>7.0</v>
      </c>
      <c r="W24" s="18">
        <v>9.0</v>
      </c>
      <c r="X24" s="18">
        <f t="shared" si="3"/>
        <v>24</v>
      </c>
      <c r="Y24" s="15"/>
      <c r="Z24" s="16">
        <v>18.0</v>
      </c>
      <c r="AA24" s="17" t="s">
        <v>44</v>
      </c>
      <c r="AB24" s="18">
        <v>5.0</v>
      </c>
      <c r="AC24" s="18">
        <v>7.0</v>
      </c>
      <c r="AD24" s="18">
        <v>5.0</v>
      </c>
      <c r="AE24" s="18">
        <f t="shared" si="4"/>
        <v>17</v>
      </c>
      <c r="AF24" s="15"/>
      <c r="AG24" s="16">
        <v>18.0</v>
      </c>
      <c r="AH24" s="17" t="s">
        <v>44</v>
      </c>
      <c r="AI24" s="18">
        <v>0.0</v>
      </c>
      <c r="AJ24" s="18">
        <v>0.0</v>
      </c>
      <c r="AK24" s="18">
        <v>0.0</v>
      </c>
      <c r="AL24" s="15"/>
    </row>
    <row r="25" ht="19.5" customHeight="1">
      <c r="A25" s="15"/>
      <c r="B25" s="16">
        <v>19.0</v>
      </c>
      <c r="C25" s="17" t="s">
        <v>45</v>
      </c>
      <c r="D25" s="18">
        <v>96.0</v>
      </c>
      <c r="E25" s="18">
        <v>7.0</v>
      </c>
      <c r="F25" s="18">
        <v>0.0</v>
      </c>
      <c r="G25" s="18">
        <v>4.0</v>
      </c>
      <c r="H25" s="18">
        <v>2.0</v>
      </c>
      <c r="I25" s="18">
        <v>0.0</v>
      </c>
      <c r="J25" s="18">
        <f t="shared" si="1"/>
        <v>109</v>
      </c>
      <c r="K25" s="15"/>
      <c r="L25" s="16">
        <v>19.0</v>
      </c>
      <c r="M25" s="17" t="s">
        <v>45</v>
      </c>
      <c r="N25" s="18">
        <v>16.0</v>
      </c>
      <c r="O25" s="18">
        <v>1.0</v>
      </c>
      <c r="P25" s="18">
        <v>6.0</v>
      </c>
      <c r="Q25" s="18">
        <f t="shared" si="2"/>
        <v>23</v>
      </c>
      <c r="R25" s="15"/>
      <c r="S25" s="16">
        <v>19.0</v>
      </c>
      <c r="T25" s="17" t="s">
        <v>45</v>
      </c>
      <c r="U25" s="18">
        <v>5.0</v>
      </c>
      <c r="V25" s="18">
        <v>4.0</v>
      </c>
      <c r="W25" s="18">
        <v>8.0</v>
      </c>
      <c r="X25" s="18">
        <f t="shared" si="3"/>
        <v>17</v>
      </c>
      <c r="Y25" s="15"/>
      <c r="Z25" s="16">
        <v>19.0</v>
      </c>
      <c r="AA25" s="17" t="s">
        <v>45</v>
      </c>
      <c r="AB25" s="18">
        <v>1.0</v>
      </c>
      <c r="AC25" s="18">
        <v>0.0</v>
      </c>
      <c r="AD25" s="18">
        <v>1.0</v>
      </c>
      <c r="AE25" s="18">
        <f t="shared" si="4"/>
        <v>2</v>
      </c>
      <c r="AF25" s="15"/>
      <c r="AG25" s="16">
        <v>19.0</v>
      </c>
      <c r="AH25" s="17" t="s">
        <v>45</v>
      </c>
      <c r="AI25" s="18">
        <v>11.0</v>
      </c>
      <c r="AJ25" s="18">
        <v>6.0</v>
      </c>
      <c r="AK25" s="18">
        <v>17.0</v>
      </c>
      <c r="AL25" s="15"/>
    </row>
    <row r="26" ht="19.5" customHeight="1">
      <c r="A26" s="15"/>
      <c r="B26" s="16">
        <v>20.0</v>
      </c>
      <c r="C26" s="17" t="s">
        <v>46</v>
      </c>
      <c r="D26" s="18">
        <v>22.0</v>
      </c>
      <c r="E26" s="18">
        <v>0.0</v>
      </c>
      <c r="F26" s="18">
        <v>0.0</v>
      </c>
      <c r="G26" s="18">
        <v>1.0</v>
      </c>
      <c r="H26" s="18">
        <v>1.0</v>
      </c>
      <c r="I26" s="18">
        <v>0.0</v>
      </c>
      <c r="J26" s="18">
        <f t="shared" si="1"/>
        <v>24</v>
      </c>
      <c r="K26" s="15"/>
      <c r="L26" s="16">
        <v>20.0</v>
      </c>
      <c r="M26" s="17" t="s">
        <v>46</v>
      </c>
      <c r="N26" s="18">
        <v>0.0</v>
      </c>
      <c r="O26" s="18">
        <v>0.0</v>
      </c>
      <c r="P26" s="18">
        <v>0.0</v>
      </c>
      <c r="Q26" s="18">
        <f t="shared" si="2"/>
        <v>0</v>
      </c>
      <c r="R26" s="15"/>
      <c r="S26" s="16">
        <v>20.0</v>
      </c>
      <c r="T26" s="17" t="s">
        <v>46</v>
      </c>
      <c r="U26" s="18">
        <v>0.0</v>
      </c>
      <c r="V26" s="18">
        <v>0.0</v>
      </c>
      <c r="W26" s="18">
        <v>0.0</v>
      </c>
      <c r="X26" s="18">
        <f t="shared" si="3"/>
        <v>0</v>
      </c>
      <c r="Y26" s="15"/>
      <c r="Z26" s="16">
        <v>20.0</v>
      </c>
      <c r="AA26" s="17" t="s">
        <v>46</v>
      </c>
      <c r="AB26" s="18">
        <v>1.0</v>
      </c>
      <c r="AC26" s="18">
        <v>2.0</v>
      </c>
      <c r="AD26" s="18">
        <v>5.0</v>
      </c>
      <c r="AE26" s="18">
        <f t="shared" si="4"/>
        <v>8</v>
      </c>
      <c r="AF26" s="15"/>
      <c r="AG26" s="16">
        <v>20.0</v>
      </c>
      <c r="AH26" s="17" t="s">
        <v>46</v>
      </c>
      <c r="AI26" s="18">
        <v>0.0</v>
      </c>
      <c r="AJ26" s="18">
        <v>0.0</v>
      </c>
      <c r="AK26" s="18">
        <v>0.0</v>
      </c>
      <c r="AL26" s="15"/>
    </row>
    <row r="27" ht="19.5" customHeight="1">
      <c r="A27" s="15"/>
      <c r="B27" s="16">
        <v>21.0</v>
      </c>
      <c r="C27" s="17" t="s">
        <v>47</v>
      </c>
      <c r="D27" s="18">
        <v>122.0</v>
      </c>
      <c r="E27" s="18">
        <v>50.0</v>
      </c>
      <c r="F27" s="18">
        <v>8.0</v>
      </c>
      <c r="G27" s="18">
        <v>6.0</v>
      </c>
      <c r="H27" s="18">
        <v>12.0</v>
      </c>
      <c r="I27" s="18">
        <v>11.0</v>
      </c>
      <c r="J27" s="18">
        <f t="shared" si="1"/>
        <v>209</v>
      </c>
      <c r="K27" s="15"/>
      <c r="L27" s="16">
        <v>21.0</v>
      </c>
      <c r="M27" s="17" t="s">
        <v>47</v>
      </c>
      <c r="N27" s="18">
        <v>12.0</v>
      </c>
      <c r="O27" s="18">
        <v>2.0</v>
      </c>
      <c r="P27" s="18">
        <v>7.0</v>
      </c>
      <c r="Q27" s="18">
        <f t="shared" si="2"/>
        <v>21</v>
      </c>
      <c r="R27" s="15"/>
      <c r="S27" s="16">
        <v>21.0</v>
      </c>
      <c r="T27" s="17" t="s">
        <v>47</v>
      </c>
      <c r="U27" s="18">
        <v>0.0</v>
      </c>
      <c r="V27" s="18">
        <v>0.0</v>
      </c>
      <c r="W27" s="18">
        <v>2.0</v>
      </c>
      <c r="X27" s="18">
        <f t="shared" si="3"/>
        <v>2</v>
      </c>
      <c r="Y27" s="15"/>
      <c r="Z27" s="16">
        <v>21.0</v>
      </c>
      <c r="AA27" s="17" t="s">
        <v>47</v>
      </c>
      <c r="AB27" s="18">
        <v>0.0</v>
      </c>
      <c r="AC27" s="18">
        <v>7.0</v>
      </c>
      <c r="AD27" s="18">
        <v>17.0</v>
      </c>
      <c r="AE27" s="18">
        <f t="shared" si="4"/>
        <v>24</v>
      </c>
      <c r="AF27" s="15"/>
      <c r="AG27" s="16">
        <v>21.0</v>
      </c>
      <c r="AH27" s="17" t="s">
        <v>47</v>
      </c>
      <c r="AI27" s="18">
        <v>1.0</v>
      </c>
      <c r="AJ27" s="18">
        <v>0.0</v>
      </c>
      <c r="AK27" s="18">
        <v>1.0</v>
      </c>
      <c r="AL27" s="15"/>
    </row>
    <row r="28" ht="19.5" customHeight="1">
      <c r="A28" s="15"/>
      <c r="B28" s="16">
        <v>22.0</v>
      </c>
      <c r="C28" s="17" t="s">
        <v>48</v>
      </c>
      <c r="D28" s="18">
        <v>85.0</v>
      </c>
      <c r="E28" s="18">
        <v>4.0</v>
      </c>
      <c r="F28" s="18">
        <v>2.0</v>
      </c>
      <c r="G28" s="18">
        <v>1.0</v>
      </c>
      <c r="H28" s="18">
        <v>1.0</v>
      </c>
      <c r="I28" s="18">
        <v>1.0</v>
      </c>
      <c r="J28" s="18">
        <f t="shared" si="1"/>
        <v>94</v>
      </c>
      <c r="K28" s="15"/>
      <c r="L28" s="16">
        <v>22.0</v>
      </c>
      <c r="M28" s="17" t="s">
        <v>48</v>
      </c>
      <c r="N28" s="18">
        <v>7.0</v>
      </c>
      <c r="O28" s="18">
        <v>15.0</v>
      </c>
      <c r="P28" s="18">
        <v>5.0</v>
      </c>
      <c r="Q28" s="18">
        <f t="shared" si="2"/>
        <v>27</v>
      </c>
      <c r="R28" s="15"/>
      <c r="S28" s="16">
        <v>22.0</v>
      </c>
      <c r="T28" s="17" t="s">
        <v>48</v>
      </c>
      <c r="U28" s="18">
        <v>1.0</v>
      </c>
      <c r="V28" s="18">
        <v>0.0</v>
      </c>
      <c r="W28" s="18">
        <v>0.0</v>
      </c>
      <c r="X28" s="18">
        <f t="shared" si="3"/>
        <v>1</v>
      </c>
      <c r="Y28" s="15"/>
      <c r="Z28" s="16">
        <v>22.0</v>
      </c>
      <c r="AA28" s="17" t="s">
        <v>48</v>
      </c>
      <c r="AB28" s="18">
        <v>2.0</v>
      </c>
      <c r="AC28" s="18">
        <v>0.0</v>
      </c>
      <c r="AD28" s="18">
        <v>0.0</v>
      </c>
      <c r="AE28" s="18">
        <f t="shared" si="4"/>
        <v>2</v>
      </c>
      <c r="AF28" s="15"/>
      <c r="AG28" s="16">
        <v>22.0</v>
      </c>
      <c r="AH28" s="17" t="s">
        <v>48</v>
      </c>
      <c r="AI28" s="18">
        <v>0.0</v>
      </c>
      <c r="AJ28" s="18">
        <v>0.0</v>
      </c>
      <c r="AK28" s="18">
        <v>0.0</v>
      </c>
      <c r="AL28" s="15"/>
    </row>
    <row r="29" ht="19.5" customHeight="1">
      <c r="A29" s="15"/>
      <c r="B29" s="16">
        <v>23.0</v>
      </c>
      <c r="C29" s="17" t="s">
        <v>49</v>
      </c>
      <c r="D29" s="18">
        <v>22.0</v>
      </c>
      <c r="E29" s="18">
        <v>1.0</v>
      </c>
      <c r="F29" s="18">
        <v>2.0</v>
      </c>
      <c r="G29" s="18">
        <v>0.0</v>
      </c>
      <c r="H29" s="18">
        <v>1.0</v>
      </c>
      <c r="I29" s="18">
        <v>0.0</v>
      </c>
      <c r="J29" s="18">
        <f t="shared" si="1"/>
        <v>26</v>
      </c>
      <c r="K29" s="15"/>
      <c r="L29" s="16">
        <v>23.0</v>
      </c>
      <c r="M29" s="17" t="s">
        <v>49</v>
      </c>
      <c r="N29" s="18">
        <v>0.0</v>
      </c>
      <c r="O29" s="18">
        <v>1.0</v>
      </c>
      <c r="P29" s="18">
        <v>0.0</v>
      </c>
      <c r="Q29" s="18">
        <f t="shared" si="2"/>
        <v>1</v>
      </c>
      <c r="R29" s="15"/>
      <c r="S29" s="16">
        <v>23.0</v>
      </c>
      <c r="T29" s="17" t="s">
        <v>49</v>
      </c>
      <c r="U29" s="18">
        <v>1.0</v>
      </c>
      <c r="V29" s="18">
        <v>2.0</v>
      </c>
      <c r="W29" s="18">
        <v>0.0</v>
      </c>
      <c r="X29" s="18">
        <f t="shared" si="3"/>
        <v>3</v>
      </c>
      <c r="Y29" s="15"/>
      <c r="Z29" s="16">
        <v>23.0</v>
      </c>
      <c r="AA29" s="17" t="s">
        <v>49</v>
      </c>
      <c r="AB29" s="18">
        <v>9.0</v>
      </c>
      <c r="AC29" s="18">
        <v>0.0</v>
      </c>
      <c r="AD29" s="18">
        <v>0.0</v>
      </c>
      <c r="AE29" s="18">
        <f t="shared" si="4"/>
        <v>9</v>
      </c>
      <c r="AF29" s="15"/>
      <c r="AG29" s="16">
        <v>23.0</v>
      </c>
      <c r="AH29" s="17" t="s">
        <v>49</v>
      </c>
      <c r="AI29" s="18">
        <v>0.0</v>
      </c>
      <c r="AJ29" s="18">
        <v>1.0</v>
      </c>
      <c r="AK29" s="18">
        <v>1.0</v>
      </c>
      <c r="AL29" s="15"/>
    </row>
    <row r="30" ht="19.5" customHeight="1">
      <c r="A30" s="15"/>
      <c r="B30" s="16">
        <v>24.0</v>
      </c>
      <c r="C30" s="17" t="s">
        <v>50</v>
      </c>
      <c r="D30" s="18">
        <v>46.0</v>
      </c>
      <c r="E30" s="18">
        <v>0.0</v>
      </c>
      <c r="F30" s="18">
        <v>0.0</v>
      </c>
      <c r="G30" s="18">
        <v>0.0</v>
      </c>
      <c r="H30" s="18">
        <v>0.0</v>
      </c>
      <c r="I30" s="18">
        <v>0.0</v>
      </c>
      <c r="J30" s="18">
        <f t="shared" si="1"/>
        <v>46</v>
      </c>
      <c r="K30" s="15"/>
      <c r="L30" s="16">
        <v>24.0</v>
      </c>
      <c r="M30" s="17" t="s">
        <v>50</v>
      </c>
      <c r="N30" s="18">
        <v>0.0</v>
      </c>
      <c r="O30" s="18">
        <v>0.0</v>
      </c>
      <c r="P30" s="18">
        <v>2.0</v>
      </c>
      <c r="Q30" s="18">
        <f t="shared" si="2"/>
        <v>2</v>
      </c>
      <c r="R30" s="15"/>
      <c r="S30" s="16">
        <v>24.0</v>
      </c>
      <c r="T30" s="17" t="s">
        <v>50</v>
      </c>
      <c r="U30" s="18">
        <v>1.0</v>
      </c>
      <c r="V30" s="18">
        <v>0.0</v>
      </c>
      <c r="W30" s="18">
        <v>0.0</v>
      </c>
      <c r="X30" s="18">
        <f t="shared" si="3"/>
        <v>1</v>
      </c>
      <c r="Y30" s="15"/>
      <c r="Z30" s="16">
        <v>24.0</v>
      </c>
      <c r="AA30" s="17" t="s">
        <v>50</v>
      </c>
      <c r="AB30" s="18">
        <v>1.0</v>
      </c>
      <c r="AC30" s="18">
        <v>0.0</v>
      </c>
      <c r="AD30" s="18">
        <v>0.0</v>
      </c>
      <c r="AE30" s="18">
        <f t="shared" si="4"/>
        <v>1</v>
      </c>
      <c r="AF30" s="15"/>
      <c r="AG30" s="16">
        <v>24.0</v>
      </c>
      <c r="AH30" s="17" t="s">
        <v>50</v>
      </c>
      <c r="AI30" s="18">
        <v>0.0</v>
      </c>
      <c r="AJ30" s="18">
        <v>0.0</v>
      </c>
      <c r="AK30" s="18">
        <v>0.0</v>
      </c>
      <c r="AL30" s="15"/>
    </row>
    <row r="31" ht="19.5" customHeight="1">
      <c r="A31" s="15"/>
      <c r="B31" s="16">
        <v>25.0</v>
      </c>
      <c r="C31" s="17" t="s">
        <v>51</v>
      </c>
      <c r="D31" s="18">
        <v>45.0</v>
      </c>
      <c r="E31" s="18">
        <v>7.0</v>
      </c>
      <c r="F31" s="18">
        <v>2.0</v>
      </c>
      <c r="G31" s="18">
        <v>3.0</v>
      </c>
      <c r="H31" s="18">
        <v>7.0</v>
      </c>
      <c r="I31" s="18">
        <v>1.0</v>
      </c>
      <c r="J31" s="18">
        <f t="shared" si="1"/>
        <v>65</v>
      </c>
      <c r="K31" s="15"/>
      <c r="L31" s="16">
        <v>25.0</v>
      </c>
      <c r="M31" s="17" t="s">
        <v>51</v>
      </c>
      <c r="N31" s="18">
        <v>18.0</v>
      </c>
      <c r="O31" s="18">
        <v>4.0</v>
      </c>
      <c r="P31" s="18">
        <v>10.0</v>
      </c>
      <c r="Q31" s="18">
        <f t="shared" si="2"/>
        <v>32</v>
      </c>
      <c r="R31" s="15"/>
      <c r="S31" s="16">
        <v>25.0</v>
      </c>
      <c r="T31" s="17" t="s">
        <v>51</v>
      </c>
      <c r="U31" s="18">
        <v>3.0</v>
      </c>
      <c r="V31" s="18">
        <v>0.0</v>
      </c>
      <c r="W31" s="18">
        <v>0.0</v>
      </c>
      <c r="X31" s="18">
        <f t="shared" si="3"/>
        <v>3</v>
      </c>
      <c r="Y31" s="15"/>
      <c r="Z31" s="16">
        <v>25.0</v>
      </c>
      <c r="AA31" s="17" t="s">
        <v>51</v>
      </c>
      <c r="AB31" s="18">
        <v>4.0</v>
      </c>
      <c r="AC31" s="18">
        <v>9.0</v>
      </c>
      <c r="AD31" s="18">
        <v>12.0</v>
      </c>
      <c r="AE31" s="18">
        <f t="shared" si="4"/>
        <v>25</v>
      </c>
      <c r="AF31" s="15"/>
      <c r="AG31" s="16">
        <v>25.0</v>
      </c>
      <c r="AH31" s="17" t="s">
        <v>51</v>
      </c>
      <c r="AI31" s="18">
        <v>0.0</v>
      </c>
      <c r="AJ31" s="18">
        <v>0.0</v>
      </c>
      <c r="AK31" s="18">
        <v>0.0</v>
      </c>
      <c r="AL31" s="15"/>
    </row>
    <row r="32" ht="19.5" customHeight="1">
      <c r="A32" s="15"/>
      <c r="B32" s="16">
        <v>26.0</v>
      </c>
      <c r="C32" s="17" t="s">
        <v>52</v>
      </c>
      <c r="D32" s="18">
        <v>27.0</v>
      </c>
      <c r="E32" s="18">
        <v>1.0</v>
      </c>
      <c r="F32" s="18">
        <v>0.0</v>
      </c>
      <c r="G32" s="18">
        <v>2.0</v>
      </c>
      <c r="H32" s="18">
        <v>0.0</v>
      </c>
      <c r="I32" s="18">
        <v>2.0</v>
      </c>
      <c r="J32" s="18">
        <f t="shared" si="1"/>
        <v>32</v>
      </c>
      <c r="K32" s="15"/>
      <c r="L32" s="16">
        <v>26.0</v>
      </c>
      <c r="M32" s="17" t="s">
        <v>52</v>
      </c>
      <c r="N32" s="18">
        <v>1.0</v>
      </c>
      <c r="O32" s="18">
        <v>0.0</v>
      </c>
      <c r="P32" s="18">
        <v>0.0</v>
      </c>
      <c r="Q32" s="18">
        <f t="shared" si="2"/>
        <v>1</v>
      </c>
      <c r="R32" s="15"/>
      <c r="S32" s="16">
        <v>26.0</v>
      </c>
      <c r="T32" s="17" t="s">
        <v>52</v>
      </c>
      <c r="U32" s="18">
        <v>1.0</v>
      </c>
      <c r="V32" s="18">
        <v>0.0</v>
      </c>
      <c r="W32" s="18">
        <v>0.0</v>
      </c>
      <c r="X32" s="18">
        <f t="shared" si="3"/>
        <v>1</v>
      </c>
      <c r="Y32" s="15"/>
      <c r="Z32" s="16">
        <v>26.0</v>
      </c>
      <c r="AA32" s="17" t="s">
        <v>52</v>
      </c>
      <c r="AB32" s="18">
        <v>2.0</v>
      </c>
      <c r="AC32" s="18">
        <v>3.0</v>
      </c>
      <c r="AD32" s="18">
        <v>2.0</v>
      </c>
      <c r="AE32" s="18">
        <f t="shared" si="4"/>
        <v>7</v>
      </c>
      <c r="AF32" s="15"/>
      <c r="AG32" s="16">
        <v>26.0</v>
      </c>
      <c r="AH32" s="17" t="s">
        <v>52</v>
      </c>
      <c r="AI32" s="18">
        <v>1.0</v>
      </c>
      <c r="AJ32" s="18">
        <v>0.0</v>
      </c>
      <c r="AK32" s="18">
        <v>1.0</v>
      </c>
      <c r="AL32" s="15"/>
    </row>
    <row r="33" ht="19.5" customHeight="1">
      <c r="A33" s="15"/>
      <c r="B33" s="16">
        <v>27.0</v>
      </c>
      <c r="C33" s="17" t="s">
        <v>53</v>
      </c>
      <c r="D33" s="18">
        <v>82.0</v>
      </c>
      <c r="E33" s="18">
        <v>3.0</v>
      </c>
      <c r="F33" s="18">
        <v>2.0</v>
      </c>
      <c r="G33" s="18">
        <v>2.0</v>
      </c>
      <c r="H33" s="18">
        <v>1.0</v>
      </c>
      <c r="I33" s="18">
        <v>0.0</v>
      </c>
      <c r="J33" s="18">
        <f t="shared" si="1"/>
        <v>90</v>
      </c>
      <c r="K33" s="15"/>
      <c r="L33" s="16">
        <v>27.0</v>
      </c>
      <c r="M33" s="17" t="s">
        <v>53</v>
      </c>
      <c r="N33" s="18">
        <v>5.0</v>
      </c>
      <c r="O33" s="18">
        <v>0.0</v>
      </c>
      <c r="P33" s="18">
        <v>0.0</v>
      </c>
      <c r="Q33" s="18">
        <f t="shared" si="2"/>
        <v>5</v>
      </c>
      <c r="R33" s="15"/>
      <c r="S33" s="16">
        <v>27.0</v>
      </c>
      <c r="T33" s="17" t="s">
        <v>53</v>
      </c>
      <c r="U33" s="18">
        <v>0.0</v>
      </c>
      <c r="V33" s="18">
        <v>0.0</v>
      </c>
      <c r="W33" s="18">
        <v>0.0</v>
      </c>
      <c r="X33" s="18">
        <f t="shared" si="3"/>
        <v>0</v>
      </c>
      <c r="Y33" s="15"/>
      <c r="Z33" s="16">
        <v>27.0</v>
      </c>
      <c r="AA33" s="17" t="s">
        <v>53</v>
      </c>
      <c r="AB33" s="18">
        <v>1.0</v>
      </c>
      <c r="AC33" s="18">
        <v>1.0</v>
      </c>
      <c r="AD33" s="18">
        <v>1.0</v>
      </c>
      <c r="AE33" s="18">
        <f t="shared" si="4"/>
        <v>3</v>
      </c>
      <c r="AF33" s="15"/>
      <c r="AG33" s="16">
        <v>27.0</v>
      </c>
      <c r="AH33" s="17" t="s">
        <v>53</v>
      </c>
      <c r="AI33" s="18">
        <v>1.0</v>
      </c>
      <c r="AJ33" s="18">
        <v>0.0</v>
      </c>
      <c r="AK33" s="18">
        <v>1.0</v>
      </c>
      <c r="AL33" s="15"/>
    </row>
    <row r="34" ht="30.0" customHeight="1">
      <c r="A34" s="6"/>
      <c r="B34" s="9" t="s">
        <v>54</v>
      </c>
      <c r="C34" s="11"/>
      <c r="D34" s="19">
        <f t="shared" ref="D34:J34" si="5">SUM(D7:D33)</f>
        <v>3770</v>
      </c>
      <c r="E34" s="19">
        <f t="shared" si="5"/>
        <v>451</v>
      </c>
      <c r="F34" s="19">
        <f t="shared" si="5"/>
        <v>233</v>
      </c>
      <c r="G34" s="19">
        <f t="shared" si="5"/>
        <v>226</v>
      </c>
      <c r="H34" s="19">
        <f t="shared" si="5"/>
        <v>330</v>
      </c>
      <c r="I34" s="19">
        <f t="shared" si="5"/>
        <v>179</v>
      </c>
      <c r="J34" s="19">
        <f t="shared" si="5"/>
        <v>5189</v>
      </c>
      <c r="K34" s="6"/>
      <c r="L34" s="9" t="s">
        <v>54</v>
      </c>
      <c r="M34" s="11"/>
      <c r="N34" s="19">
        <f t="shared" ref="N34:Q34" si="6">SUM(N7:N33)</f>
        <v>794</v>
      </c>
      <c r="O34" s="19">
        <f t="shared" si="6"/>
        <v>252</v>
      </c>
      <c r="P34" s="19">
        <f t="shared" si="6"/>
        <v>230</v>
      </c>
      <c r="Q34" s="19">
        <f t="shared" si="6"/>
        <v>1276</v>
      </c>
      <c r="R34" s="6"/>
      <c r="S34" s="9" t="s">
        <v>54</v>
      </c>
      <c r="T34" s="11"/>
      <c r="U34" s="19">
        <f t="shared" ref="U34:X34" si="7">SUM(U7:U33)</f>
        <v>149</v>
      </c>
      <c r="V34" s="19">
        <f t="shared" si="7"/>
        <v>49</v>
      </c>
      <c r="W34" s="19">
        <f t="shared" si="7"/>
        <v>88</v>
      </c>
      <c r="X34" s="19">
        <f t="shared" si="7"/>
        <v>286</v>
      </c>
      <c r="Y34" s="6"/>
      <c r="Z34" s="9" t="s">
        <v>54</v>
      </c>
      <c r="AA34" s="11"/>
      <c r="AB34" s="19">
        <f t="shared" ref="AB34:AE34" si="8">SUM(AB7:AB33)</f>
        <v>288</v>
      </c>
      <c r="AC34" s="19">
        <f t="shared" si="8"/>
        <v>162</v>
      </c>
      <c r="AD34" s="19">
        <f t="shared" si="8"/>
        <v>335</v>
      </c>
      <c r="AE34" s="19">
        <f t="shared" si="8"/>
        <v>785</v>
      </c>
      <c r="AF34" s="6"/>
      <c r="AG34" s="9" t="s">
        <v>54</v>
      </c>
      <c r="AH34" s="11"/>
      <c r="AI34" s="19">
        <f t="shared" ref="AI34:AK34" si="9">SUM(AI7:AI33)</f>
        <v>54</v>
      </c>
      <c r="AJ34" s="19">
        <f t="shared" si="9"/>
        <v>44</v>
      </c>
      <c r="AK34" s="19">
        <f t="shared" si="9"/>
        <v>98</v>
      </c>
      <c r="AL34" s="6"/>
    </row>
    <row r="35" ht="15.0" customHeight="1">
      <c r="A35" s="1"/>
      <c r="B35" s="20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20" t="s">
        <v>55</v>
      </c>
      <c r="M35" s="1"/>
      <c r="N35" s="1"/>
      <c r="O35" s="1"/>
      <c r="P35" s="1"/>
      <c r="Q35" s="1"/>
      <c r="R35" s="1"/>
      <c r="S35" s="20" t="s">
        <v>55</v>
      </c>
      <c r="T35" s="1"/>
      <c r="U35" s="1"/>
      <c r="V35" s="1"/>
      <c r="W35" s="1"/>
      <c r="X35" s="1"/>
      <c r="Y35" s="1"/>
      <c r="Z35" s="20" t="s">
        <v>55</v>
      </c>
      <c r="AA35" s="1"/>
      <c r="AB35" s="1"/>
      <c r="AC35" s="1"/>
      <c r="AD35" s="1"/>
      <c r="AE35" s="1"/>
      <c r="AF35" s="1"/>
      <c r="AG35" s="20" t="s">
        <v>55</v>
      </c>
      <c r="AH35" s="1"/>
      <c r="AI35" s="1"/>
      <c r="AJ35" s="1"/>
      <c r="AK35" s="1"/>
      <c r="A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5.75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.75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.7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25">
    <mergeCell ref="AB5:AD5"/>
    <mergeCell ref="AE5:AE6"/>
    <mergeCell ref="AG5:AG6"/>
    <mergeCell ref="AH5:AH6"/>
    <mergeCell ref="AI5:AJ5"/>
    <mergeCell ref="AK5:AK6"/>
    <mergeCell ref="Q5:Q6"/>
    <mergeCell ref="S5:S6"/>
    <mergeCell ref="T5:T6"/>
    <mergeCell ref="U5:W5"/>
    <mergeCell ref="X5:X6"/>
    <mergeCell ref="Z5:Z6"/>
    <mergeCell ref="AA5:AA6"/>
    <mergeCell ref="B34:C34"/>
    <mergeCell ref="L34:M34"/>
    <mergeCell ref="S34:T34"/>
    <mergeCell ref="Z34:AA34"/>
    <mergeCell ref="AG34:AH34"/>
    <mergeCell ref="B5:B6"/>
    <mergeCell ref="C5:C6"/>
    <mergeCell ref="D5:I5"/>
    <mergeCell ref="J5:J6"/>
    <mergeCell ref="L5:L6"/>
    <mergeCell ref="M5:M6"/>
    <mergeCell ref="N5:P5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71"/>
    <col customWidth="1" min="2" max="2" width="4.71"/>
    <col customWidth="1" min="3" max="3" width="30.71"/>
    <col customWidth="1" min="4" max="5" width="16.71"/>
    <col customWidth="1" min="6" max="6" width="12.71"/>
    <col customWidth="1" min="7" max="7" width="2.71"/>
    <col customWidth="1" min="8" max="8" width="4.71"/>
    <col customWidth="1" min="9" max="9" width="30.71"/>
    <col customWidth="1" min="10" max="11" width="16.71"/>
    <col customWidth="1" min="12" max="12" width="11.71"/>
    <col customWidth="1" min="13" max="13" width="2.71"/>
    <col customWidth="1" min="14" max="14" width="4.71"/>
    <col customWidth="1" min="15" max="15" width="30.71"/>
    <col customWidth="1" min="16" max="17" width="16.71"/>
    <col customWidth="1" min="18" max="18" width="11.71"/>
    <col customWidth="1" min="19" max="19" width="2.71"/>
    <col customWidth="1" min="20" max="20" width="4.71"/>
    <col customWidth="1" min="21" max="21" width="30.71"/>
    <col customWidth="1" min="22" max="23" width="16.71"/>
    <col customWidth="1" min="24" max="24" width="11.71"/>
    <col customWidth="1" min="25" max="25" width="2.71"/>
    <col customWidth="1" min="26" max="26" width="4.71"/>
    <col customWidth="1" min="27" max="27" width="30.71"/>
    <col customWidth="1" min="28" max="30" width="16.71"/>
    <col customWidth="1" min="31" max="31" width="2.71"/>
  </cols>
  <sheetData>
    <row r="1">
      <c r="A1" s="1"/>
      <c r="B1" s="2" t="s">
        <v>0</v>
      </c>
      <c r="C1" s="3"/>
      <c r="D1" s="3"/>
      <c r="E1" s="3"/>
      <c r="F1" s="3"/>
      <c r="G1" s="4"/>
      <c r="H1" s="2" t="s">
        <v>0</v>
      </c>
      <c r="I1" s="3"/>
      <c r="J1" s="3"/>
      <c r="K1" s="3"/>
      <c r="L1" s="3"/>
      <c r="M1" s="4"/>
      <c r="N1" s="2" t="s">
        <v>0</v>
      </c>
      <c r="O1" s="3"/>
      <c r="P1" s="3"/>
      <c r="Q1" s="3"/>
      <c r="R1" s="3"/>
      <c r="S1" s="4"/>
      <c r="T1" s="2" t="s">
        <v>0</v>
      </c>
      <c r="U1" s="3"/>
      <c r="V1" s="3"/>
      <c r="W1" s="3"/>
      <c r="X1" s="3"/>
      <c r="Y1" s="4"/>
      <c r="Z1" s="2" t="s">
        <v>1</v>
      </c>
      <c r="AA1" s="3"/>
      <c r="AB1" s="3"/>
      <c r="AC1" s="3"/>
      <c r="AD1" s="3"/>
      <c r="AE1" s="4"/>
    </row>
    <row r="2" ht="18.0" customHeight="1">
      <c r="A2" s="1"/>
      <c r="B2" s="3" t="s">
        <v>2</v>
      </c>
      <c r="C2" s="5"/>
      <c r="D2" s="5"/>
      <c r="E2" s="5"/>
      <c r="F2" s="5"/>
      <c r="G2" s="4"/>
      <c r="H2" s="3" t="s">
        <v>3</v>
      </c>
      <c r="I2" s="5"/>
      <c r="J2" s="5"/>
      <c r="K2" s="5"/>
      <c r="L2" s="5"/>
      <c r="M2" s="4"/>
      <c r="N2" s="3" t="s">
        <v>4</v>
      </c>
      <c r="O2" s="5"/>
      <c r="P2" s="5"/>
      <c r="Q2" s="5"/>
      <c r="R2" s="5"/>
      <c r="S2" s="4"/>
      <c r="T2" s="3" t="s">
        <v>5</v>
      </c>
      <c r="U2" s="5"/>
      <c r="V2" s="5"/>
      <c r="W2" s="5"/>
      <c r="X2" s="5"/>
      <c r="Y2" s="4"/>
      <c r="Z2" s="3" t="s">
        <v>6</v>
      </c>
      <c r="AA2" s="5"/>
      <c r="AB2" s="5"/>
      <c r="AC2" s="5"/>
      <c r="AD2" s="5"/>
      <c r="AE2" s="4"/>
    </row>
    <row r="3" ht="18.0" customHeight="1">
      <c r="A3" s="1"/>
      <c r="B3" s="3" t="s">
        <v>7</v>
      </c>
      <c r="C3" s="5"/>
      <c r="D3" s="5"/>
      <c r="E3" s="5"/>
      <c r="F3" s="5"/>
      <c r="G3" s="4"/>
      <c r="H3" s="3" t="s">
        <v>7</v>
      </c>
      <c r="I3" s="5"/>
      <c r="J3" s="5"/>
      <c r="K3" s="5"/>
      <c r="L3" s="5"/>
      <c r="M3" s="4"/>
      <c r="N3" s="3" t="s">
        <v>7</v>
      </c>
      <c r="O3" s="5"/>
      <c r="P3" s="5"/>
      <c r="Q3" s="5"/>
      <c r="R3" s="5"/>
      <c r="S3" s="4"/>
      <c r="T3" s="3" t="s">
        <v>7</v>
      </c>
      <c r="U3" s="5"/>
      <c r="V3" s="5"/>
      <c r="W3" s="5"/>
      <c r="X3" s="5"/>
      <c r="Y3" s="4"/>
      <c r="Z3" s="3" t="s">
        <v>7</v>
      </c>
      <c r="AA3" s="5"/>
      <c r="AB3" s="5"/>
      <c r="AC3" s="5"/>
      <c r="AD3" s="5"/>
      <c r="AE3" s="4"/>
    </row>
    <row r="4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24.0" customHeight="1">
      <c r="A5" s="6"/>
      <c r="B5" s="7" t="s">
        <v>8</v>
      </c>
      <c r="C5" s="8" t="s">
        <v>9</v>
      </c>
      <c r="D5" s="9" t="s">
        <v>56</v>
      </c>
      <c r="E5" s="12"/>
      <c r="F5" s="8" t="s">
        <v>11</v>
      </c>
      <c r="G5" s="6"/>
      <c r="H5" s="7" t="s">
        <v>8</v>
      </c>
      <c r="I5" s="8" t="s">
        <v>9</v>
      </c>
      <c r="J5" s="9" t="s">
        <v>56</v>
      </c>
      <c r="K5" s="12"/>
      <c r="L5" s="8" t="s">
        <v>11</v>
      </c>
      <c r="M5" s="6"/>
      <c r="N5" s="7" t="s">
        <v>8</v>
      </c>
      <c r="O5" s="8" t="s">
        <v>9</v>
      </c>
      <c r="P5" s="9" t="s">
        <v>56</v>
      </c>
      <c r="Q5" s="12"/>
      <c r="R5" s="8" t="s">
        <v>11</v>
      </c>
      <c r="S5" s="6"/>
      <c r="T5" s="7" t="s">
        <v>8</v>
      </c>
      <c r="U5" s="8" t="s">
        <v>9</v>
      </c>
      <c r="V5" s="9" t="s">
        <v>56</v>
      </c>
      <c r="W5" s="12"/>
      <c r="X5" s="8" t="s">
        <v>11</v>
      </c>
      <c r="Y5" s="6"/>
      <c r="Z5" s="7" t="s">
        <v>8</v>
      </c>
      <c r="AA5" s="8" t="s">
        <v>9</v>
      </c>
      <c r="AB5" s="9" t="s">
        <v>56</v>
      </c>
      <c r="AC5" s="12"/>
      <c r="AD5" s="8" t="s">
        <v>11</v>
      </c>
      <c r="AE5" s="6"/>
    </row>
    <row r="6" ht="24.0" customHeight="1">
      <c r="A6" s="6"/>
      <c r="B6" s="13"/>
      <c r="C6" s="13"/>
      <c r="D6" s="14" t="s">
        <v>57</v>
      </c>
      <c r="E6" s="14" t="s">
        <v>58</v>
      </c>
      <c r="F6" s="13"/>
      <c r="G6" s="6"/>
      <c r="H6" s="13"/>
      <c r="I6" s="13"/>
      <c r="J6" s="14" t="s">
        <v>57</v>
      </c>
      <c r="K6" s="14" t="s">
        <v>58</v>
      </c>
      <c r="L6" s="13"/>
      <c r="M6" s="6"/>
      <c r="N6" s="13"/>
      <c r="O6" s="13"/>
      <c r="P6" s="14" t="s">
        <v>57</v>
      </c>
      <c r="Q6" s="14" t="s">
        <v>58</v>
      </c>
      <c r="R6" s="13"/>
      <c r="S6" s="6"/>
      <c r="T6" s="13"/>
      <c r="U6" s="13"/>
      <c r="V6" s="14" t="s">
        <v>57</v>
      </c>
      <c r="W6" s="14" t="s">
        <v>58</v>
      </c>
      <c r="X6" s="13"/>
      <c r="Y6" s="6"/>
      <c r="Z6" s="13"/>
      <c r="AA6" s="13"/>
      <c r="AB6" s="14" t="s">
        <v>57</v>
      </c>
      <c r="AC6" s="14" t="s">
        <v>58</v>
      </c>
      <c r="AD6" s="13"/>
      <c r="AE6" s="6"/>
    </row>
    <row r="7" ht="19.5" customHeight="1">
      <c r="A7" s="15"/>
      <c r="B7" s="16">
        <v>1.0</v>
      </c>
      <c r="C7" s="17" t="s">
        <v>27</v>
      </c>
      <c r="D7" s="18">
        <v>325.0</v>
      </c>
      <c r="E7" s="18">
        <v>20.0</v>
      </c>
      <c r="F7" s="18">
        <f t="shared" ref="F7:F33" si="1">SUM(D7:E7)</f>
        <v>345</v>
      </c>
      <c r="G7" s="15"/>
      <c r="H7" s="16">
        <v>1.0</v>
      </c>
      <c r="I7" s="17" t="s">
        <v>27</v>
      </c>
      <c r="J7" s="18">
        <v>5.0</v>
      </c>
      <c r="K7" s="18">
        <v>80.0</v>
      </c>
      <c r="L7" s="18">
        <f t="shared" ref="L7:L33" si="2">SUM(J7:K7)</f>
        <v>85</v>
      </c>
      <c r="M7" s="15"/>
      <c r="N7" s="16">
        <v>1.0</v>
      </c>
      <c r="O7" s="17" t="s">
        <v>27</v>
      </c>
      <c r="P7" s="18">
        <v>2.0</v>
      </c>
      <c r="Q7" s="18">
        <v>21.0</v>
      </c>
      <c r="R7" s="18">
        <f t="shared" ref="R7:R33" si="3">SUM(P7:Q7)</f>
        <v>23</v>
      </c>
      <c r="S7" s="15"/>
      <c r="T7" s="16">
        <v>1.0</v>
      </c>
      <c r="U7" s="17" t="s">
        <v>27</v>
      </c>
      <c r="V7" s="18">
        <v>0.0</v>
      </c>
      <c r="W7" s="18">
        <v>3.0</v>
      </c>
      <c r="X7" s="18">
        <f t="shared" ref="X7:X33" si="4">SUM(V7:W7)</f>
        <v>3</v>
      </c>
      <c r="Y7" s="15"/>
      <c r="Z7" s="16">
        <v>1.0</v>
      </c>
      <c r="AA7" s="17" t="s">
        <v>27</v>
      </c>
      <c r="AB7" s="18">
        <v>5.0</v>
      </c>
      <c r="AC7" s="18">
        <v>5.0</v>
      </c>
      <c r="AD7" s="18">
        <v>19.0</v>
      </c>
      <c r="AE7" s="15"/>
    </row>
    <row r="8" ht="19.5" customHeight="1">
      <c r="A8" s="15"/>
      <c r="B8" s="16">
        <v>2.0</v>
      </c>
      <c r="C8" s="17" t="s">
        <v>28</v>
      </c>
      <c r="D8" s="18">
        <v>188.0</v>
      </c>
      <c r="E8" s="18">
        <v>7.0</v>
      </c>
      <c r="F8" s="18">
        <f t="shared" si="1"/>
        <v>195</v>
      </c>
      <c r="G8" s="15"/>
      <c r="H8" s="16">
        <v>2.0</v>
      </c>
      <c r="I8" s="17" t="s">
        <v>28</v>
      </c>
      <c r="J8" s="18">
        <v>7.0</v>
      </c>
      <c r="K8" s="18">
        <v>12.0</v>
      </c>
      <c r="L8" s="18">
        <f t="shared" si="2"/>
        <v>19</v>
      </c>
      <c r="M8" s="15"/>
      <c r="N8" s="16">
        <v>2.0</v>
      </c>
      <c r="O8" s="17" t="s">
        <v>28</v>
      </c>
      <c r="P8" s="18">
        <v>4.0</v>
      </c>
      <c r="Q8" s="18">
        <v>24.0</v>
      </c>
      <c r="R8" s="18">
        <f t="shared" si="3"/>
        <v>28</v>
      </c>
      <c r="S8" s="15"/>
      <c r="T8" s="16">
        <v>2.0</v>
      </c>
      <c r="U8" s="17" t="s">
        <v>28</v>
      </c>
      <c r="V8" s="18">
        <v>0.0</v>
      </c>
      <c r="W8" s="18">
        <v>39.0</v>
      </c>
      <c r="X8" s="18">
        <f t="shared" si="4"/>
        <v>39</v>
      </c>
      <c r="Y8" s="15"/>
      <c r="Z8" s="16">
        <v>2.0</v>
      </c>
      <c r="AA8" s="17" t="s">
        <v>28</v>
      </c>
      <c r="AB8" s="18">
        <v>1.0</v>
      </c>
      <c r="AC8" s="18">
        <v>11.0</v>
      </c>
      <c r="AD8" s="18">
        <v>17.0</v>
      </c>
      <c r="AE8" s="15"/>
    </row>
    <row r="9" ht="19.5" customHeight="1">
      <c r="A9" s="15"/>
      <c r="B9" s="16">
        <v>3.0</v>
      </c>
      <c r="C9" s="17" t="s">
        <v>29</v>
      </c>
      <c r="D9" s="18">
        <v>433.0</v>
      </c>
      <c r="E9" s="18">
        <v>112.0</v>
      </c>
      <c r="F9" s="18">
        <f t="shared" si="1"/>
        <v>545</v>
      </c>
      <c r="G9" s="15"/>
      <c r="H9" s="16">
        <v>3.0</v>
      </c>
      <c r="I9" s="17" t="s">
        <v>29</v>
      </c>
      <c r="J9" s="18">
        <v>6.0</v>
      </c>
      <c r="K9" s="18">
        <v>67.0</v>
      </c>
      <c r="L9" s="18">
        <f t="shared" si="2"/>
        <v>73</v>
      </c>
      <c r="M9" s="15"/>
      <c r="N9" s="16">
        <v>3.0</v>
      </c>
      <c r="O9" s="17" t="s">
        <v>29</v>
      </c>
      <c r="P9" s="18">
        <v>2.0</v>
      </c>
      <c r="Q9" s="18">
        <v>12.0</v>
      </c>
      <c r="R9" s="18">
        <f t="shared" si="3"/>
        <v>14</v>
      </c>
      <c r="S9" s="15"/>
      <c r="T9" s="16">
        <v>3.0</v>
      </c>
      <c r="U9" s="17" t="s">
        <v>29</v>
      </c>
      <c r="V9" s="18">
        <v>0.0</v>
      </c>
      <c r="W9" s="18">
        <v>22.0</v>
      </c>
      <c r="X9" s="18">
        <f t="shared" si="4"/>
        <v>22</v>
      </c>
      <c r="Y9" s="15"/>
      <c r="Z9" s="16">
        <v>3.0</v>
      </c>
      <c r="AA9" s="17" t="s">
        <v>29</v>
      </c>
      <c r="AB9" s="18">
        <v>0.0</v>
      </c>
      <c r="AC9" s="18">
        <v>0.0</v>
      </c>
      <c r="AD9" s="18">
        <v>12.0</v>
      </c>
      <c r="AE9" s="15"/>
    </row>
    <row r="10" ht="19.5" customHeight="1">
      <c r="A10" s="15"/>
      <c r="B10" s="16">
        <v>4.0</v>
      </c>
      <c r="C10" s="17" t="s">
        <v>30</v>
      </c>
      <c r="D10" s="18">
        <v>461.0</v>
      </c>
      <c r="E10" s="18">
        <v>72.0</v>
      </c>
      <c r="F10" s="18">
        <f t="shared" si="1"/>
        <v>533</v>
      </c>
      <c r="G10" s="15"/>
      <c r="H10" s="16">
        <v>4.0</v>
      </c>
      <c r="I10" s="17" t="s">
        <v>30</v>
      </c>
      <c r="J10" s="18">
        <v>7.0</v>
      </c>
      <c r="K10" s="18">
        <v>247.0</v>
      </c>
      <c r="L10" s="18">
        <f t="shared" si="2"/>
        <v>254</v>
      </c>
      <c r="M10" s="15"/>
      <c r="N10" s="16">
        <v>4.0</v>
      </c>
      <c r="O10" s="17" t="s">
        <v>30</v>
      </c>
      <c r="P10" s="18">
        <v>1.0</v>
      </c>
      <c r="Q10" s="18">
        <v>23.0</v>
      </c>
      <c r="R10" s="18">
        <f t="shared" si="3"/>
        <v>24</v>
      </c>
      <c r="S10" s="15"/>
      <c r="T10" s="16">
        <v>4.0</v>
      </c>
      <c r="U10" s="17" t="s">
        <v>30</v>
      </c>
      <c r="V10" s="18">
        <v>0.0</v>
      </c>
      <c r="W10" s="18">
        <v>99.0</v>
      </c>
      <c r="X10" s="18">
        <f t="shared" si="4"/>
        <v>99</v>
      </c>
      <c r="Y10" s="15"/>
      <c r="Z10" s="16">
        <v>4.0</v>
      </c>
      <c r="AA10" s="17" t="s">
        <v>30</v>
      </c>
      <c r="AB10" s="18">
        <v>0.0</v>
      </c>
      <c r="AC10" s="18">
        <v>7.0</v>
      </c>
      <c r="AD10" s="18">
        <v>10.0</v>
      </c>
      <c r="AE10" s="15"/>
    </row>
    <row r="11" ht="19.5" customHeight="1">
      <c r="A11" s="15"/>
      <c r="B11" s="16">
        <v>5.0</v>
      </c>
      <c r="C11" s="17" t="s">
        <v>31</v>
      </c>
      <c r="D11" s="18">
        <v>45.0</v>
      </c>
      <c r="E11" s="18">
        <v>4.0</v>
      </c>
      <c r="F11" s="18">
        <f t="shared" si="1"/>
        <v>49</v>
      </c>
      <c r="G11" s="15"/>
      <c r="H11" s="16">
        <v>5.0</v>
      </c>
      <c r="I11" s="17" t="s">
        <v>31</v>
      </c>
      <c r="J11" s="18">
        <v>7.0</v>
      </c>
      <c r="K11" s="18">
        <v>5.0</v>
      </c>
      <c r="L11" s="18">
        <f t="shared" si="2"/>
        <v>12</v>
      </c>
      <c r="M11" s="15"/>
      <c r="N11" s="16">
        <v>5.0</v>
      </c>
      <c r="O11" s="17" t="s">
        <v>31</v>
      </c>
      <c r="P11" s="18">
        <v>1.0</v>
      </c>
      <c r="Q11" s="18">
        <v>4.0</v>
      </c>
      <c r="R11" s="18">
        <f t="shared" si="3"/>
        <v>5</v>
      </c>
      <c r="S11" s="15"/>
      <c r="T11" s="16">
        <v>5.0</v>
      </c>
      <c r="U11" s="17" t="s">
        <v>31</v>
      </c>
      <c r="V11" s="18">
        <v>1.0</v>
      </c>
      <c r="W11" s="18">
        <v>13.0</v>
      </c>
      <c r="X11" s="18">
        <f t="shared" si="4"/>
        <v>14</v>
      </c>
      <c r="Y11" s="15"/>
      <c r="Z11" s="16">
        <v>5.0</v>
      </c>
      <c r="AA11" s="17" t="s">
        <v>31</v>
      </c>
      <c r="AB11" s="18">
        <v>0.0</v>
      </c>
      <c r="AC11" s="18">
        <v>7.0</v>
      </c>
      <c r="AD11" s="18">
        <v>7.0</v>
      </c>
      <c r="AE11" s="15"/>
    </row>
    <row r="12" ht="19.5" customHeight="1">
      <c r="A12" s="15"/>
      <c r="B12" s="16">
        <v>6.0</v>
      </c>
      <c r="C12" s="17" t="s">
        <v>32</v>
      </c>
      <c r="D12" s="18">
        <v>365.0</v>
      </c>
      <c r="E12" s="18">
        <v>29.0</v>
      </c>
      <c r="F12" s="18">
        <f t="shared" si="1"/>
        <v>394</v>
      </c>
      <c r="G12" s="15"/>
      <c r="H12" s="16">
        <v>6.0</v>
      </c>
      <c r="I12" s="17" t="s">
        <v>32</v>
      </c>
      <c r="J12" s="18">
        <v>27.0</v>
      </c>
      <c r="K12" s="18">
        <v>117.0</v>
      </c>
      <c r="L12" s="18">
        <f t="shared" si="2"/>
        <v>144</v>
      </c>
      <c r="M12" s="15"/>
      <c r="N12" s="16">
        <v>6.0</v>
      </c>
      <c r="O12" s="17" t="s">
        <v>32</v>
      </c>
      <c r="P12" s="18">
        <v>6.0</v>
      </c>
      <c r="Q12" s="18">
        <v>21.0</v>
      </c>
      <c r="R12" s="18">
        <f t="shared" si="3"/>
        <v>27</v>
      </c>
      <c r="S12" s="15"/>
      <c r="T12" s="16">
        <v>6.0</v>
      </c>
      <c r="U12" s="17" t="s">
        <v>32</v>
      </c>
      <c r="V12" s="18">
        <v>9.0</v>
      </c>
      <c r="W12" s="18">
        <v>77.0</v>
      </c>
      <c r="X12" s="18">
        <f t="shared" si="4"/>
        <v>86</v>
      </c>
      <c r="Y12" s="15"/>
      <c r="Z12" s="16">
        <v>6.0</v>
      </c>
      <c r="AA12" s="17" t="s">
        <v>32</v>
      </c>
      <c r="AB12" s="18">
        <v>1.0</v>
      </c>
      <c r="AC12" s="18">
        <v>0.0</v>
      </c>
      <c r="AD12" s="18">
        <v>7.0</v>
      </c>
      <c r="AE12" s="15"/>
    </row>
    <row r="13" ht="19.5" customHeight="1">
      <c r="A13" s="15"/>
      <c r="B13" s="16">
        <v>7.0</v>
      </c>
      <c r="C13" s="17" t="s">
        <v>33</v>
      </c>
      <c r="D13" s="18">
        <v>217.0</v>
      </c>
      <c r="E13" s="18">
        <v>11.0</v>
      </c>
      <c r="F13" s="18">
        <f t="shared" si="1"/>
        <v>228</v>
      </c>
      <c r="G13" s="15"/>
      <c r="H13" s="16">
        <v>7.0</v>
      </c>
      <c r="I13" s="17" t="s">
        <v>33</v>
      </c>
      <c r="J13" s="18">
        <v>6.0</v>
      </c>
      <c r="K13" s="18">
        <v>33.0</v>
      </c>
      <c r="L13" s="18">
        <f t="shared" si="2"/>
        <v>39</v>
      </c>
      <c r="M13" s="15"/>
      <c r="N13" s="16">
        <v>7.0</v>
      </c>
      <c r="O13" s="17" t="s">
        <v>33</v>
      </c>
      <c r="P13" s="18">
        <v>1.0</v>
      </c>
      <c r="Q13" s="18">
        <v>2.0</v>
      </c>
      <c r="R13" s="18">
        <f t="shared" si="3"/>
        <v>3</v>
      </c>
      <c r="S13" s="15"/>
      <c r="T13" s="16">
        <v>7.0</v>
      </c>
      <c r="U13" s="17" t="s">
        <v>33</v>
      </c>
      <c r="V13" s="18">
        <v>3.0</v>
      </c>
      <c r="W13" s="18">
        <v>32.0</v>
      </c>
      <c r="X13" s="18">
        <f t="shared" si="4"/>
        <v>35</v>
      </c>
      <c r="Y13" s="15"/>
      <c r="Z13" s="16">
        <v>7.0</v>
      </c>
      <c r="AA13" s="17" t="s">
        <v>33</v>
      </c>
      <c r="AB13" s="18">
        <v>0.0</v>
      </c>
      <c r="AC13" s="18">
        <v>1.0</v>
      </c>
      <c r="AD13" s="18">
        <v>5.0</v>
      </c>
      <c r="AE13" s="15"/>
    </row>
    <row r="14" ht="19.5" customHeight="1">
      <c r="A14" s="15"/>
      <c r="B14" s="16">
        <v>8.0</v>
      </c>
      <c r="C14" s="17" t="s">
        <v>34</v>
      </c>
      <c r="D14" s="18">
        <v>363.0</v>
      </c>
      <c r="E14" s="18">
        <v>20.0</v>
      </c>
      <c r="F14" s="18">
        <f t="shared" si="1"/>
        <v>383</v>
      </c>
      <c r="G14" s="15"/>
      <c r="H14" s="16">
        <v>8.0</v>
      </c>
      <c r="I14" s="17" t="s">
        <v>34</v>
      </c>
      <c r="J14" s="18">
        <v>21.0</v>
      </c>
      <c r="K14" s="18">
        <v>197.0</v>
      </c>
      <c r="L14" s="18">
        <f t="shared" si="2"/>
        <v>218</v>
      </c>
      <c r="M14" s="15"/>
      <c r="N14" s="16">
        <v>8.0</v>
      </c>
      <c r="O14" s="17" t="s">
        <v>34</v>
      </c>
      <c r="P14" s="18">
        <v>12.0</v>
      </c>
      <c r="Q14" s="18">
        <v>62.0</v>
      </c>
      <c r="R14" s="18">
        <f t="shared" si="3"/>
        <v>74</v>
      </c>
      <c r="S14" s="15"/>
      <c r="T14" s="16">
        <v>8.0</v>
      </c>
      <c r="U14" s="17" t="s">
        <v>34</v>
      </c>
      <c r="V14" s="18">
        <v>0.0</v>
      </c>
      <c r="W14" s="18">
        <v>52.0</v>
      </c>
      <c r="X14" s="18">
        <f t="shared" si="4"/>
        <v>52</v>
      </c>
      <c r="Y14" s="15"/>
      <c r="Z14" s="16">
        <v>8.0</v>
      </c>
      <c r="AA14" s="17" t="s">
        <v>34</v>
      </c>
      <c r="AB14" s="18">
        <v>0.0</v>
      </c>
      <c r="AC14" s="18">
        <v>3.0</v>
      </c>
      <c r="AD14" s="18">
        <v>3.0</v>
      </c>
      <c r="AE14" s="15"/>
    </row>
    <row r="15" ht="19.5" customHeight="1">
      <c r="A15" s="15"/>
      <c r="B15" s="16">
        <v>9.0</v>
      </c>
      <c r="C15" s="17" t="s">
        <v>35</v>
      </c>
      <c r="D15" s="18">
        <v>196.0</v>
      </c>
      <c r="E15" s="18">
        <v>8.0</v>
      </c>
      <c r="F15" s="18">
        <f t="shared" si="1"/>
        <v>204</v>
      </c>
      <c r="G15" s="15"/>
      <c r="H15" s="16">
        <v>9.0</v>
      </c>
      <c r="I15" s="17" t="s">
        <v>35</v>
      </c>
      <c r="J15" s="18">
        <v>30.0</v>
      </c>
      <c r="K15" s="18">
        <v>27.0</v>
      </c>
      <c r="L15" s="18">
        <f t="shared" si="2"/>
        <v>57</v>
      </c>
      <c r="M15" s="15"/>
      <c r="N15" s="16">
        <v>9.0</v>
      </c>
      <c r="O15" s="17" t="s">
        <v>35</v>
      </c>
      <c r="P15" s="18">
        <v>1.0</v>
      </c>
      <c r="Q15" s="18">
        <v>7.0</v>
      </c>
      <c r="R15" s="18">
        <f t="shared" si="3"/>
        <v>8</v>
      </c>
      <c r="S15" s="15"/>
      <c r="T15" s="16">
        <v>9.0</v>
      </c>
      <c r="U15" s="17" t="s">
        <v>35</v>
      </c>
      <c r="V15" s="18">
        <v>3.0</v>
      </c>
      <c r="W15" s="18">
        <v>41.0</v>
      </c>
      <c r="X15" s="18">
        <f t="shared" si="4"/>
        <v>44</v>
      </c>
      <c r="Y15" s="15"/>
      <c r="Z15" s="16">
        <v>9.0</v>
      </c>
      <c r="AA15" s="17" t="s">
        <v>35</v>
      </c>
      <c r="AB15" s="18">
        <v>1.0</v>
      </c>
      <c r="AC15" s="18">
        <v>1.0</v>
      </c>
      <c r="AD15" s="18">
        <v>3.0</v>
      </c>
      <c r="AE15" s="15"/>
    </row>
    <row r="16" ht="19.5" customHeight="1">
      <c r="A16" s="15"/>
      <c r="B16" s="16">
        <v>10.0</v>
      </c>
      <c r="C16" s="17" t="s">
        <v>36</v>
      </c>
      <c r="D16" s="18">
        <v>405.0</v>
      </c>
      <c r="E16" s="18">
        <v>13.0</v>
      </c>
      <c r="F16" s="18">
        <f t="shared" si="1"/>
        <v>418</v>
      </c>
      <c r="G16" s="15"/>
      <c r="H16" s="16">
        <v>10.0</v>
      </c>
      <c r="I16" s="17" t="s">
        <v>36</v>
      </c>
      <c r="J16" s="18">
        <v>1.0</v>
      </c>
      <c r="K16" s="18">
        <v>55.0</v>
      </c>
      <c r="L16" s="18">
        <f t="shared" si="2"/>
        <v>56</v>
      </c>
      <c r="M16" s="15"/>
      <c r="N16" s="16">
        <v>10.0</v>
      </c>
      <c r="O16" s="17" t="s">
        <v>36</v>
      </c>
      <c r="P16" s="18">
        <v>2.0</v>
      </c>
      <c r="Q16" s="18">
        <v>1.0</v>
      </c>
      <c r="R16" s="18">
        <f t="shared" si="3"/>
        <v>3</v>
      </c>
      <c r="S16" s="15"/>
      <c r="T16" s="16">
        <v>10.0</v>
      </c>
      <c r="U16" s="17" t="s">
        <v>36</v>
      </c>
      <c r="V16" s="18">
        <v>1.0</v>
      </c>
      <c r="W16" s="18">
        <v>41.0</v>
      </c>
      <c r="X16" s="18">
        <f t="shared" si="4"/>
        <v>42</v>
      </c>
      <c r="Y16" s="15"/>
      <c r="Z16" s="16">
        <v>10.0</v>
      </c>
      <c r="AA16" s="17" t="s">
        <v>36</v>
      </c>
      <c r="AB16" s="18">
        <v>3.0</v>
      </c>
      <c r="AC16" s="18">
        <v>16.0</v>
      </c>
      <c r="AD16" s="18">
        <v>3.0</v>
      </c>
      <c r="AE16" s="15"/>
    </row>
    <row r="17" ht="19.5" customHeight="1">
      <c r="A17" s="15"/>
      <c r="B17" s="16">
        <v>11.0</v>
      </c>
      <c r="C17" s="17" t="s">
        <v>37</v>
      </c>
      <c r="D17" s="18">
        <v>83.0</v>
      </c>
      <c r="E17" s="18">
        <v>1.0</v>
      </c>
      <c r="F17" s="18">
        <f t="shared" si="1"/>
        <v>84</v>
      </c>
      <c r="G17" s="15"/>
      <c r="H17" s="16">
        <v>11.0</v>
      </c>
      <c r="I17" s="17" t="s">
        <v>37</v>
      </c>
      <c r="J17" s="18">
        <v>29.0</v>
      </c>
      <c r="K17" s="18">
        <v>1.0</v>
      </c>
      <c r="L17" s="18">
        <f t="shared" si="2"/>
        <v>30</v>
      </c>
      <c r="M17" s="15"/>
      <c r="N17" s="16">
        <v>11.0</v>
      </c>
      <c r="O17" s="17" t="s">
        <v>37</v>
      </c>
      <c r="P17" s="18">
        <v>3.0</v>
      </c>
      <c r="Q17" s="18">
        <v>0.0</v>
      </c>
      <c r="R17" s="18">
        <f t="shared" si="3"/>
        <v>3</v>
      </c>
      <c r="S17" s="15"/>
      <c r="T17" s="16">
        <v>11.0</v>
      </c>
      <c r="U17" s="17" t="s">
        <v>37</v>
      </c>
      <c r="V17" s="18">
        <v>5.0</v>
      </c>
      <c r="W17" s="18">
        <v>25.0</v>
      </c>
      <c r="X17" s="18">
        <f t="shared" si="4"/>
        <v>30</v>
      </c>
      <c r="Y17" s="15"/>
      <c r="Z17" s="16">
        <v>11.0</v>
      </c>
      <c r="AA17" s="17" t="s">
        <v>37</v>
      </c>
      <c r="AB17" s="18">
        <v>4.0</v>
      </c>
      <c r="AC17" s="18">
        <v>1.0</v>
      </c>
      <c r="AD17" s="18">
        <v>2.0</v>
      </c>
      <c r="AE17" s="15"/>
    </row>
    <row r="18" ht="19.5" customHeight="1">
      <c r="A18" s="15"/>
      <c r="B18" s="16">
        <v>12.0</v>
      </c>
      <c r="C18" s="17" t="s">
        <v>38</v>
      </c>
      <c r="D18" s="18">
        <v>67.0</v>
      </c>
      <c r="E18" s="18">
        <v>4.0</v>
      </c>
      <c r="F18" s="18">
        <f t="shared" si="1"/>
        <v>71</v>
      </c>
      <c r="G18" s="15"/>
      <c r="H18" s="16">
        <v>12.0</v>
      </c>
      <c r="I18" s="17" t="s">
        <v>38</v>
      </c>
      <c r="J18" s="18">
        <v>19.0</v>
      </c>
      <c r="K18" s="18">
        <v>7.0</v>
      </c>
      <c r="L18" s="18">
        <f t="shared" si="2"/>
        <v>26</v>
      </c>
      <c r="M18" s="15"/>
      <c r="N18" s="16">
        <v>12.0</v>
      </c>
      <c r="O18" s="17" t="s">
        <v>38</v>
      </c>
      <c r="P18" s="18">
        <v>5.0</v>
      </c>
      <c r="Q18" s="18">
        <v>1.0</v>
      </c>
      <c r="R18" s="18">
        <f t="shared" si="3"/>
        <v>6</v>
      </c>
      <c r="S18" s="15"/>
      <c r="T18" s="16">
        <v>12.0</v>
      </c>
      <c r="U18" s="17" t="s">
        <v>38</v>
      </c>
      <c r="V18" s="18">
        <v>4.0</v>
      </c>
      <c r="W18" s="18">
        <v>11.0</v>
      </c>
      <c r="X18" s="18">
        <f t="shared" si="4"/>
        <v>15</v>
      </c>
      <c r="Y18" s="15"/>
      <c r="Z18" s="16">
        <v>12.0</v>
      </c>
      <c r="AA18" s="17" t="s">
        <v>38</v>
      </c>
      <c r="AB18" s="18">
        <v>0.0</v>
      </c>
      <c r="AC18" s="18">
        <v>3.0</v>
      </c>
      <c r="AD18" s="18">
        <v>2.0</v>
      </c>
      <c r="AE18" s="15"/>
    </row>
    <row r="19" ht="19.5" customHeight="1">
      <c r="A19" s="15"/>
      <c r="B19" s="16">
        <v>13.0</v>
      </c>
      <c r="C19" s="17" t="s">
        <v>39</v>
      </c>
      <c r="D19" s="18">
        <v>22.0</v>
      </c>
      <c r="E19" s="18">
        <v>1.0</v>
      </c>
      <c r="F19" s="18">
        <f t="shared" si="1"/>
        <v>23</v>
      </c>
      <c r="G19" s="15"/>
      <c r="H19" s="16">
        <v>13.0</v>
      </c>
      <c r="I19" s="17" t="s">
        <v>39</v>
      </c>
      <c r="J19" s="18">
        <v>2.0</v>
      </c>
      <c r="K19" s="18">
        <v>6.0</v>
      </c>
      <c r="L19" s="18">
        <f t="shared" si="2"/>
        <v>8</v>
      </c>
      <c r="M19" s="15"/>
      <c r="N19" s="16">
        <v>13.0</v>
      </c>
      <c r="O19" s="17" t="s">
        <v>39</v>
      </c>
      <c r="P19" s="18">
        <v>0.0</v>
      </c>
      <c r="Q19" s="18">
        <v>0.0</v>
      </c>
      <c r="R19" s="18">
        <f t="shared" si="3"/>
        <v>0</v>
      </c>
      <c r="S19" s="15"/>
      <c r="T19" s="16">
        <v>13.0</v>
      </c>
      <c r="U19" s="17" t="s">
        <v>39</v>
      </c>
      <c r="V19" s="18">
        <v>0.0</v>
      </c>
      <c r="W19" s="18">
        <v>10.0</v>
      </c>
      <c r="X19" s="18">
        <f t="shared" si="4"/>
        <v>10</v>
      </c>
      <c r="Y19" s="15"/>
      <c r="Z19" s="16">
        <v>13.0</v>
      </c>
      <c r="AA19" s="17" t="s">
        <v>39</v>
      </c>
      <c r="AB19" s="18">
        <v>0.0</v>
      </c>
      <c r="AC19" s="18">
        <v>0.0</v>
      </c>
      <c r="AD19" s="18">
        <v>1.0</v>
      </c>
      <c r="AE19" s="15"/>
    </row>
    <row r="20" ht="19.5" customHeight="1">
      <c r="A20" s="15"/>
      <c r="B20" s="16">
        <v>14.0</v>
      </c>
      <c r="C20" s="17" t="s">
        <v>40</v>
      </c>
      <c r="D20" s="18">
        <v>82.0</v>
      </c>
      <c r="E20" s="18">
        <v>4.0</v>
      </c>
      <c r="F20" s="18">
        <f t="shared" si="1"/>
        <v>86</v>
      </c>
      <c r="G20" s="15"/>
      <c r="H20" s="16">
        <v>14.0</v>
      </c>
      <c r="I20" s="17" t="s">
        <v>40</v>
      </c>
      <c r="J20" s="18">
        <v>7.0</v>
      </c>
      <c r="K20" s="18">
        <v>0.0</v>
      </c>
      <c r="L20" s="18">
        <f t="shared" si="2"/>
        <v>7</v>
      </c>
      <c r="M20" s="15"/>
      <c r="N20" s="16">
        <v>14.0</v>
      </c>
      <c r="O20" s="17" t="s">
        <v>40</v>
      </c>
      <c r="P20" s="18">
        <v>1.0</v>
      </c>
      <c r="Q20" s="18">
        <v>0.0</v>
      </c>
      <c r="R20" s="18">
        <f t="shared" si="3"/>
        <v>1</v>
      </c>
      <c r="S20" s="15"/>
      <c r="T20" s="16">
        <v>14.0</v>
      </c>
      <c r="U20" s="17" t="s">
        <v>40</v>
      </c>
      <c r="V20" s="18">
        <v>0.0</v>
      </c>
      <c r="W20" s="18">
        <v>48.0</v>
      </c>
      <c r="X20" s="18">
        <f t="shared" si="4"/>
        <v>48</v>
      </c>
      <c r="Y20" s="15"/>
      <c r="Z20" s="16">
        <v>14.0</v>
      </c>
      <c r="AA20" s="17" t="s">
        <v>40</v>
      </c>
      <c r="AB20" s="18">
        <v>1.0</v>
      </c>
      <c r="AC20" s="18">
        <v>0.0</v>
      </c>
      <c r="AD20" s="18">
        <v>1.0</v>
      </c>
      <c r="AE20" s="15"/>
    </row>
    <row r="21" ht="19.5" customHeight="1">
      <c r="A21" s="15"/>
      <c r="B21" s="16">
        <v>15.0</v>
      </c>
      <c r="C21" s="17" t="s">
        <v>41</v>
      </c>
      <c r="D21" s="18">
        <v>214.0</v>
      </c>
      <c r="E21" s="18">
        <v>7.0</v>
      </c>
      <c r="F21" s="18">
        <f t="shared" si="1"/>
        <v>221</v>
      </c>
      <c r="G21" s="15"/>
      <c r="H21" s="16">
        <v>15.0</v>
      </c>
      <c r="I21" s="17" t="s">
        <v>41</v>
      </c>
      <c r="J21" s="18">
        <v>10.0</v>
      </c>
      <c r="K21" s="18">
        <v>19.0</v>
      </c>
      <c r="L21" s="18">
        <f t="shared" si="2"/>
        <v>29</v>
      </c>
      <c r="M21" s="15"/>
      <c r="N21" s="16">
        <v>15.0</v>
      </c>
      <c r="O21" s="17" t="s">
        <v>41</v>
      </c>
      <c r="P21" s="18">
        <v>3.0</v>
      </c>
      <c r="Q21" s="18">
        <v>3.0</v>
      </c>
      <c r="R21" s="18">
        <f t="shared" si="3"/>
        <v>6</v>
      </c>
      <c r="S21" s="15"/>
      <c r="T21" s="16">
        <v>15.0</v>
      </c>
      <c r="U21" s="17" t="s">
        <v>41</v>
      </c>
      <c r="V21" s="18">
        <v>1.0</v>
      </c>
      <c r="W21" s="18">
        <v>76.0</v>
      </c>
      <c r="X21" s="18">
        <f t="shared" si="4"/>
        <v>77</v>
      </c>
      <c r="Y21" s="15"/>
      <c r="Z21" s="16">
        <v>15.0</v>
      </c>
      <c r="AA21" s="17" t="s">
        <v>41</v>
      </c>
      <c r="AB21" s="18">
        <v>1.0</v>
      </c>
      <c r="AC21" s="18">
        <v>1.0</v>
      </c>
      <c r="AD21" s="18">
        <v>1.0</v>
      </c>
      <c r="AE21" s="15"/>
    </row>
    <row r="22" ht="19.5" customHeight="1">
      <c r="A22" s="15"/>
      <c r="B22" s="16">
        <v>16.0</v>
      </c>
      <c r="C22" s="17" t="s">
        <v>42</v>
      </c>
      <c r="D22" s="18">
        <v>478.0</v>
      </c>
      <c r="E22" s="18">
        <v>7.0</v>
      </c>
      <c r="F22" s="18">
        <f t="shared" si="1"/>
        <v>485</v>
      </c>
      <c r="G22" s="15"/>
      <c r="H22" s="16">
        <v>16.0</v>
      </c>
      <c r="I22" s="17" t="s">
        <v>42</v>
      </c>
      <c r="J22" s="18">
        <v>15.0</v>
      </c>
      <c r="K22" s="18">
        <v>45.0</v>
      </c>
      <c r="L22" s="18">
        <f t="shared" si="2"/>
        <v>60</v>
      </c>
      <c r="M22" s="15"/>
      <c r="N22" s="16">
        <v>16.0</v>
      </c>
      <c r="O22" s="17" t="s">
        <v>42</v>
      </c>
      <c r="P22" s="18">
        <v>4.0</v>
      </c>
      <c r="Q22" s="18">
        <v>5.0</v>
      </c>
      <c r="R22" s="18">
        <f t="shared" si="3"/>
        <v>9</v>
      </c>
      <c r="S22" s="15"/>
      <c r="T22" s="16">
        <v>16.0</v>
      </c>
      <c r="U22" s="17" t="s">
        <v>42</v>
      </c>
      <c r="V22" s="18">
        <v>0.0</v>
      </c>
      <c r="W22" s="18">
        <v>64.0</v>
      </c>
      <c r="X22" s="18">
        <f t="shared" si="4"/>
        <v>64</v>
      </c>
      <c r="Y22" s="15"/>
      <c r="Z22" s="16">
        <v>16.0</v>
      </c>
      <c r="AA22" s="17" t="s">
        <v>42</v>
      </c>
      <c r="AB22" s="18">
        <v>0.0</v>
      </c>
      <c r="AC22" s="18">
        <v>1.0</v>
      </c>
      <c r="AD22" s="18">
        <v>1.0</v>
      </c>
      <c r="AE22" s="15"/>
    </row>
    <row r="23" ht="19.5" customHeight="1">
      <c r="A23" s="15"/>
      <c r="B23" s="16">
        <v>17.0</v>
      </c>
      <c r="C23" s="17" t="s">
        <v>43</v>
      </c>
      <c r="D23" s="18">
        <v>74.0</v>
      </c>
      <c r="E23" s="18">
        <v>2.0</v>
      </c>
      <c r="F23" s="18">
        <f t="shared" si="1"/>
        <v>76</v>
      </c>
      <c r="G23" s="15"/>
      <c r="H23" s="16">
        <v>17.0</v>
      </c>
      <c r="I23" s="17" t="s">
        <v>43</v>
      </c>
      <c r="J23" s="18">
        <v>6.0</v>
      </c>
      <c r="K23" s="18">
        <v>6.0</v>
      </c>
      <c r="L23" s="18">
        <f t="shared" si="2"/>
        <v>12</v>
      </c>
      <c r="M23" s="15"/>
      <c r="N23" s="16">
        <v>17.0</v>
      </c>
      <c r="O23" s="17" t="s">
        <v>43</v>
      </c>
      <c r="P23" s="18">
        <v>0.0</v>
      </c>
      <c r="Q23" s="18">
        <v>0.0</v>
      </c>
      <c r="R23" s="18">
        <f t="shared" si="3"/>
        <v>0</v>
      </c>
      <c r="S23" s="15"/>
      <c r="T23" s="16">
        <v>17.0</v>
      </c>
      <c r="U23" s="17" t="s">
        <v>43</v>
      </c>
      <c r="V23" s="18">
        <v>0.0</v>
      </c>
      <c r="W23" s="18">
        <v>7.0</v>
      </c>
      <c r="X23" s="18">
        <f t="shared" si="4"/>
        <v>7</v>
      </c>
      <c r="Y23" s="15"/>
      <c r="Z23" s="16">
        <v>17.0</v>
      </c>
      <c r="AA23" s="17" t="s">
        <v>43</v>
      </c>
      <c r="AB23" s="18">
        <v>3.0</v>
      </c>
      <c r="AC23" s="18">
        <v>0.0</v>
      </c>
      <c r="AD23" s="18">
        <v>1.0</v>
      </c>
      <c r="AE23" s="15"/>
    </row>
    <row r="24" ht="19.5" customHeight="1">
      <c r="A24" s="15"/>
      <c r="B24" s="16">
        <v>18.0</v>
      </c>
      <c r="C24" s="17" t="s">
        <v>44</v>
      </c>
      <c r="D24" s="18">
        <v>148.0</v>
      </c>
      <c r="E24" s="18">
        <v>6.0</v>
      </c>
      <c r="F24" s="18">
        <f t="shared" si="1"/>
        <v>154</v>
      </c>
      <c r="G24" s="15"/>
      <c r="H24" s="16">
        <v>18.0</v>
      </c>
      <c r="I24" s="17" t="s">
        <v>44</v>
      </c>
      <c r="J24" s="18">
        <v>15.0</v>
      </c>
      <c r="K24" s="18">
        <v>20.0</v>
      </c>
      <c r="L24" s="18">
        <f t="shared" si="2"/>
        <v>35</v>
      </c>
      <c r="M24" s="15"/>
      <c r="N24" s="16">
        <v>18.0</v>
      </c>
      <c r="O24" s="17" t="s">
        <v>44</v>
      </c>
      <c r="P24" s="18">
        <v>11.0</v>
      </c>
      <c r="Q24" s="18">
        <v>13.0</v>
      </c>
      <c r="R24" s="18">
        <f t="shared" si="3"/>
        <v>24</v>
      </c>
      <c r="S24" s="15"/>
      <c r="T24" s="16">
        <v>18.0</v>
      </c>
      <c r="U24" s="17" t="s">
        <v>44</v>
      </c>
      <c r="V24" s="18">
        <v>0.0</v>
      </c>
      <c r="W24" s="18">
        <v>17.0</v>
      </c>
      <c r="X24" s="18">
        <f t="shared" si="4"/>
        <v>17</v>
      </c>
      <c r="Y24" s="15"/>
      <c r="Z24" s="16">
        <v>18.0</v>
      </c>
      <c r="AA24" s="17" t="s">
        <v>44</v>
      </c>
      <c r="AB24" s="18">
        <v>0.0</v>
      </c>
      <c r="AC24" s="18">
        <v>0.0</v>
      </c>
      <c r="AD24" s="18">
        <v>1.0</v>
      </c>
      <c r="AE24" s="15"/>
    </row>
    <row r="25" ht="19.5" customHeight="1">
      <c r="A25" s="15"/>
      <c r="B25" s="16">
        <v>19.0</v>
      </c>
      <c r="C25" s="17" t="s">
        <v>45</v>
      </c>
      <c r="D25" s="18">
        <v>84.0</v>
      </c>
      <c r="E25" s="18">
        <v>25.0</v>
      </c>
      <c r="F25" s="18">
        <f t="shared" si="1"/>
        <v>109</v>
      </c>
      <c r="G25" s="15"/>
      <c r="H25" s="16">
        <v>19.0</v>
      </c>
      <c r="I25" s="17" t="s">
        <v>45</v>
      </c>
      <c r="J25" s="18">
        <v>1.0</v>
      </c>
      <c r="K25" s="18">
        <v>22.0</v>
      </c>
      <c r="L25" s="18">
        <f t="shared" si="2"/>
        <v>23</v>
      </c>
      <c r="M25" s="15"/>
      <c r="N25" s="16">
        <v>19.0</v>
      </c>
      <c r="O25" s="17" t="s">
        <v>45</v>
      </c>
      <c r="P25" s="18">
        <v>1.0</v>
      </c>
      <c r="Q25" s="18">
        <v>16.0</v>
      </c>
      <c r="R25" s="18">
        <f t="shared" si="3"/>
        <v>17</v>
      </c>
      <c r="S25" s="15"/>
      <c r="T25" s="16">
        <v>19.0</v>
      </c>
      <c r="U25" s="17" t="s">
        <v>45</v>
      </c>
      <c r="V25" s="18">
        <v>0.0</v>
      </c>
      <c r="W25" s="18">
        <v>2.0</v>
      </c>
      <c r="X25" s="18">
        <f t="shared" si="4"/>
        <v>2</v>
      </c>
      <c r="Y25" s="15"/>
      <c r="Z25" s="16">
        <v>19.0</v>
      </c>
      <c r="AA25" s="17" t="s">
        <v>45</v>
      </c>
      <c r="AB25" s="18">
        <v>0.0</v>
      </c>
      <c r="AC25" s="18">
        <v>17.0</v>
      </c>
      <c r="AD25" s="18">
        <v>1.0</v>
      </c>
      <c r="AE25" s="15"/>
    </row>
    <row r="26" ht="19.5" customHeight="1">
      <c r="A26" s="15"/>
      <c r="B26" s="16">
        <v>20.0</v>
      </c>
      <c r="C26" s="17" t="s">
        <v>46</v>
      </c>
      <c r="D26" s="18">
        <v>24.0</v>
      </c>
      <c r="E26" s="18">
        <v>0.0</v>
      </c>
      <c r="F26" s="18">
        <f t="shared" si="1"/>
        <v>24</v>
      </c>
      <c r="G26" s="15"/>
      <c r="H26" s="16">
        <v>20.0</v>
      </c>
      <c r="I26" s="17" t="s">
        <v>46</v>
      </c>
      <c r="J26" s="18">
        <v>0.0</v>
      </c>
      <c r="K26" s="18">
        <v>0.0</v>
      </c>
      <c r="L26" s="18">
        <f t="shared" si="2"/>
        <v>0</v>
      </c>
      <c r="M26" s="15"/>
      <c r="N26" s="16">
        <v>20.0</v>
      </c>
      <c r="O26" s="17" t="s">
        <v>46</v>
      </c>
      <c r="P26" s="18">
        <v>0.0</v>
      </c>
      <c r="Q26" s="18">
        <v>0.0</v>
      </c>
      <c r="R26" s="18">
        <f t="shared" si="3"/>
        <v>0</v>
      </c>
      <c r="S26" s="15"/>
      <c r="T26" s="16">
        <v>20.0</v>
      </c>
      <c r="U26" s="17" t="s">
        <v>46</v>
      </c>
      <c r="V26" s="18">
        <v>0.0</v>
      </c>
      <c r="W26" s="18">
        <v>8.0</v>
      </c>
      <c r="X26" s="18">
        <f t="shared" si="4"/>
        <v>8</v>
      </c>
      <c r="Y26" s="15"/>
      <c r="Z26" s="16">
        <v>20.0</v>
      </c>
      <c r="AA26" s="17" t="s">
        <v>46</v>
      </c>
      <c r="AB26" s="18">
        <v>0.0</v>
      </c>
      <c r="AC26" s="18">
        <v>0.0</v>
      </c>
      <c r="AD26" s="18">
        <v>1.0</v>
      </c>
      <c r="AE26" s="15"/>
    </row>
    <row r="27" ht="19.5" customHeight="1">
      <c r="A27" s="15"/>
      <c r="B27" s="16">
        <v>21.0</v>
      </c>
      <c r="C27" s="17" t="s">
        <v>47</v>
      </c>
      <c r="D27" s="18">
        <v>160.0</v>
      </c>
      <c r="E27" s="18">
        <v>49.0</v>
      </c>
      <c r="F27" s="18">
        <f t="shared" si="1"/>
        <v>209</v>
      </c>
      <c r="G27" s="15"/>
      <c r="H27" s="16">
        <v>21.0</v>
      </c>
      <c r="I27" s="17" t="s">
        <v>47</v>
      </c>
      <c r="J27" s="18">
        <v>2.0</v>
      </c>
      <c r="K27" s="18">
        <v>19.0</v>
      </c>
      <c r="L27" s="18">
        <f t="shared" si="2"/>
        <v>21</v>
      </c>
      <c r="M27" s="15"/>
      <c r="N27" s="16">
        <v>21.0</v>
      </c>
      <c r="O27" s="17" t="s">
        <v>47</v>
      </c>
      <c r="P27" s="18">
        <v>0.0</v>
      </c>
      <c r="Q27" s="18">
        <v>2.0</v>
      </c>
      <c r="R27" s="18">
        <f t="shared" si="3"/>
        <v>2</v>
      </c>
      <c r="S27" s="15"/>
      <c r="T27" s="16">
        <v>21.0</v>
      </c>
      <c r="U27" s="17" t="s">
        <v>47</v>
      </c>
      <c r="V27" s="18">
        <v>0.0</v>
      </c>
      <c r="W27" s="18">
        <v>24.0</v>
      </c>
      <c r="X27" s="18">
        <f t="shared" si="4"/>
        <v>24</v>
      </c>
      <c r="Y27" s="15"/>
      <c r="Z27" s="16">
        <v>21.0</v>
      </c>
      <c r="AA27" s="17" t="s">
        <v>47</v>
      </c>
      <c r="AB27" s="18">
        <v>0.0</v>
      </c>
      <c r="AC27" s="18">
        <v>1.0</v>
      </c>
      <c r="AD27" s="18">
        <v>0.0</v>
      </c>
      <c r="AE27" s="15"/>
    </row>
    <row r="28" ht="19.5" customHeight="1">
      <c r="A28" s="15"/>
      <c r="B28" s="16">
        <v>22.0</v>
      </c>
      <c r="C28" s="17" t="s">
        <v>48</v>
      </c>
      <c r="D28" s="18">
        <v>74.0</v>
      </c>
      <c r="E28" s="18">
        <v>20.0</v>
      </c>
      <c r="F28" s="18">
        <f t="shared" si="1"/>
        <v>94</v>
      </c>
      <c r="G28" s="15"/>
      <c r="H28" s="16">
        <v>22.0</v>
      </c>
      <c r="I28" s="17" t="s">
        <v>48</v>
      </c>
      <c r="J28" s="18">
        <v>0.0</v>
      </c>
      <c r="K28" s="18">
        <v>27.0</v>
      </c>
      <c r="L28" s="18">
        <f t="shared" si="2"/>
        <v>27</v>
      </c>
      <c r="M28" s="15"/>
      <c r="N28" s="16">
        <v>22.0</v>
      </c>
      <c r="O28" s="17" t="s">
        <v>48</v>
      </c>
      <c r="P28" s="18">
        <v>0.0</v>
      </c>
      <c r="Q28" s="18">
        <v>1.0</v>
      </c>
      <c r="R28" s="18">
        <f t="shared" si="3"/>
        <v>1</v>
      </c>
      <c r="S28" s="15"/>
      <c r="T28" s="16">
        <v>22.0</v>
      </c>
      <c r="U28" s="17" t="s">
        <v>48</v>
      </c>
      <c r="V28" s="18">
        <v>0.0</v>
      </c>
      <c r="W28" s="18">
        <v>2.0</v>
      </c>
      <c r="X28" s="18">
        <f t="shared" si="4"/>
        <v>2</v>
      </c>
      <c r="Y28" s="15"/>
      <c r="Z28" s="16">
        <v>22.0</v>
      </c>
      <c r="AA28" s="17" t="s">
        <v>48</v>
      </c>
      <c r="AB28" s="18">
        <v>0.0</v>
      </c>
      <c r="AC28" s="18">
        <v>0.0</v>
      </c>
      <c r="AD28" s="18">
        <v>0.0</v>
      </c>
      <c r="AE28" s="15"/>
    </row>
    <row r="29" ht="19.5" customHeight="1">
      <c r="A29" s="15"/>
      <c r="B29" s="16">
        <v>23.0</v>
      </c>
      <c r="C29" s="17" t="s">
        <v>49</v>
      </c>
      <c r="D29" s="18">
        <v>24.0</v>
      </c>
      <c r="E29" s="18">
        <v>2.0</v>
      </c>
      <c r="F29" s="18">
        <f t="shared" si="1"/>
        <v>26</v>
      </c>
      <c r="G29" s="15"/>
      <c r="H29" s="16">
        <v>23.0</v>
      </c>
      <c r="I29" s="17" t="s">
        <v>49</v>
      </c>
      <c r="J29" s="18">
        <v>0.0</v>
      </c>
      <c r="K29" s="18">
        <v>1.0</v>
      </c>
      <c r="L29" s="18">
        <f t="shared" si="2"/>
        <v>1</v>
      </c>
      <c r="M29" s="15"/>
      <c r="N29" s="16">
        <v>23.0</v>
      </c>
      <c r="O29" s="17" t="s">
        <v>49</v>
      </c>
      <c r="P29" s="18">
        <v>0.0</v>
      </c>
      <c r="Q29" s="18">
        <v>3.0</v>
      </c>
      <c r="R29" s="18">
        <f t="shared" si="3"/>
        <v>3</v>
      </c>
      <c r="S29" s="15"/>
      <c r="T29" s="16">
        <v>23.0</v>
      </c>
      <c r="U29" s="17" t="s">
        <v>49</v>
      </c>
      <c r="V29" s="18">
        <v>0.0</v>
      </c>
      <c r="W29" s="18">
        <v>9.0</v>
      </c>
      <c r="X29" s="18">
        <f t="shared" si="4"/>
        <v>9</v>
      </c>
      <c r="Y29" s="15"/>
      <c r="Z29" s="16">
        <v>23.0</v>
      </c>
      <c r="AA29" s="17" t="s">
        <v>49</v>
      </c>
      <c r="AB29" s="18">
        <v>1.0</v>
      </c>
      <c r="AC29" s="18">
        <v>0.0</v>
      </c>
      <c r="AD29" s="18">
        <v>0.0</v>
      </c>
      <c r="AE29" s="15"/>
    </row>
    <row r="30" ht="19.5" customHeight="1">
      <c r="A30" s="15"/>
      <c r="B30" s="16">
        <v>24.0</v>
      </c>
      <c r="C30" s="17" t="s">
        <v>50</v>
      </c>
      <c r="D30" s="18">
        <v>46.0</v>
      </c>
      <c r="E30" s="18">
        <v>0.0</v>
      </c>
      <c r="F30" s="18">
        <f t="shared" si="1"/>
        <v>46</v>
      </c>
      <c r="G30" s="15"/>
      <c r="H30" s="16">
        <v>24.0</v>
      </c>
      <c r="I30" s="17" t="s">
        <v>50</v>
      </c>
      <c r="J30" s="18">
        <v>1.0</v>
      </c>
      <c r="K30" s="18">
        <v>1.0</v>
      </c>
      <c r="L30" s="18">
        <f t="shared" si="2"/>
        <v>2</v>
      </c>
      <c r="M30" s="15"/>
      <c r="N30" s="16">
        <v>24.0</v>
      </c>
      <c r="O30" s="17" t="s">
        <v>50</v>
      </c>
      <c r="P30" s="18">
        <v>0.0</v>
      </c>
      <c r="Q30" s="18">
        <v>1.0</v>
      </c>
      <c r="R30" s="18">
        <f t="shared" si="3"/>
        <v>1</v>
      </c>
      <c r="S30" s="15"/>
      <c r="T30" s="16">
        <v>24.0</v>
      </c>
      <c r="U30" s="17" t="s">
        <v>50</v>
      </c>
      <c r="V30" s="18">
        <v>0.0</v>
      </c>
      <c r="W30" s="18">
        <v>1.0</v>
      </c>
      <c r="X30" s="18">
        <f t="shared" si="4"/>
        <v>1</v>
      </c>
      <c r="Y30" s="15"/>
      <c r="Z30" s="16">
        <v>24.0</v>
      </c>
      <c r="AA30" s="17" t="s">
        <v>50</v>
      </c>
      <c r="AB30" s="18">
        <v>0.0</v>
      </c>
      <c r="AC30" s="18">
        <v>0.0</v>
      </c>
      <c r="AD30" s="18">
        <v>0.0</v>
      </c>
      <c r="AE30" s="15"/>
    </row>
    <row r="31" ht="19.5" customHeight="1">
      <c r="A31" s="15"/>
      <c r="B31" s="16">
        <v>25.0</v>
      </c>
      <c r="C31" s="17" t="s">
        <v>51</v>
      </c>
      <c r="D31" s="18">
        <v>32.0</v>
      </c>
      <c r="E31" s="18">
        <v>33.0</v>
      </c>
      <c r="F31" s="18">
        <f t="shared" si="1"/>
        <v>65</v>
      </c>
      <c r="G31" s="15"/>
      <c r="H31" s="16">
        <v>25.0</v>
      </c>
      <c r="I31" s="17" t="s">
        <v>51</v>
      </c>
      <c r="J31" s="18">
        <v>12.0</v>
      </c>
      <c r="K31" s="18">
        <v>20.0</v>
      </c>
      <c r="L31" s="18">
        <f t="shared" si="2"/>
        <v>32</v>
      </c>
      <c r="M31" s="15"/>
      <c r="N31" s="16">
        <v>25.0</v>
      </c>
      <c r="O31" s="17" t="s">
        <v>51</v>
      </c>
      <c r="P31" s="18">
        <v>0.0</v>
      </c>
      <c r="Q31" s="18">
        <v>3.0</v>
      </c>
      <c r="R31" s="18">
        <f t="shared" si="3"/>
        <v>3</v>
      </c>
      <c r="S31" s="15"/>
      <c r="T31" s="16">
        <v>25.0</v>
      </c>
      <c r="U31" s="17" t="s">
        <v>51</v>
      </c>
      <c r="V31" s="18">
        <v>0.0</v>
      </c>
      <c r="W31" s="18">
        <v>25.0</v>
      </c>
      <c r="X31" s="18">
        <f t="shared" si="4"/>
        <v>25</v>
      </c>
      <c r="Y31" s="15"/>
      <c r="Z31" s="16">
        <v>25.0</v>
      </c>
      <c r="AA31" s="17" t="s">
        <v>51</v>
      </c>
      <c r="AB31" s="18">
        <v>0.0</v>
      </c>
      <c r="AC31" s="18">
        <v>0.0</v>
      </c>
      <c r="AD31" s="18">
        <v>0.0</v>
      </c>
      <c r="AE31" s="15"/>
    </row>
    <row r="32" ht="19.5" customHeight="1">
      <c r="A32" s="15"/>
      <c r="B32" s="16">
        <v>26.0</v>
      </c>
      <c r="C32" s="17" t="s">
        <v>52</v>
      </c>
      <c r="D32" s="18">
        <v>24.0</v>
      </c>
      <c r="E32" s="18">
        <v>8.0</v>
      </c>
      <c r="F32" s="18">
        <f t="shared" si="1"/>
        <v>32</v>
      </c>
      <c r="G32" s="15"/>
      <c r="H32" s="16">
        <v>26.0</v>
      </c>
      <c r="I32" s="17" t="s">
        <v>52</v>
      </c>
      <c r="J32" s="18">
        <v>0.0</v>
      </c>
      <c r="K32" s="18">
        <v>1.0</v>
      </c>
      <c r="L32" s="18">
        <f t="shared" si="2"/>
        <v>1</v>
      </c>
      <c r="M32" s="15"/>
      <c r="N32" s="16">
        <v>26.0</v>
      </c>
      <c r="O32" s="17" t="s">
        <v>52</v>
      </c>
      <c r="P32" s="18">
        <v>0.0</v>
      </c>
      <c r="Q32" s="18">
        <v>1.0</v>
      </c>
      <c r="R32" s="18">
        <f t="shared" si="3"/>
        <v>1</v>
      </c>
      <c r="S32" s="15"/>
      <c r="T32" s="16">
        <v>26.0</v>
      </c>
      <c r="U32" s="17" t="s">
        <v>52</v>
      </c>
      <c r="V32" s="18">
        <v>1.0</v>
      </c>
      <c r="W32" s="18">
        <v>6.0</v>
      </c>
      <c r="X32" s="18">
        <f t="shared" si="4"/>
        <v>7</v>
      </c>
      <c r="Y32" s="15"/>
      <c r="Z32" s="16">
        <v>26.0</v>
      </c>
      <c r="AA32" s="17" t="s">
        <v>52</v>
      </c>
      <c r="AB32" s="18">
        <v>0.0</v>
      </c>
      <c r="AC32" s="18">
        <v>1.0</v>
      </c>
      <c r="AD32" s="18">
        <v>0.0</v>
      </c>
      <c r="AE32" s="15"/>
    </row>
    <row r="33" ht="19.5" customHeight="1">
      <c r="A33" s="15"/>
      <c r="B33" s="16">
        <v>27.0</v>
      </c>
      <c r="C33" s="17" t="s">
        <v>53</v>
      </c>
      <c r="D33" s="18">
        <v>47.0</v>
      </c>
      <c r="E33" s="18">
        <v>43.0</v>
      </c>
      <c r="F33" s="18">
        <f t="shared" si="1"/>
        <v>90</v>
      </c>
      <c r="G33" s="15"/>
      <c r="H33" s="16">
        <v>27.0</v>
      </c>
      <c r="I33" s="17" t="s">
        <v>53</v>
      </c>
      <c r="J33" s="18">
        <v>5.0</v>
      </c>
      <c r="K33" s="18">
        <v>0.0</v>
      </c>
      <c r="L33" s="18">
        <f t="shared" si="2"/>
        <v>5</v>
      </c>
      <c r="M33" s="15"/>
      <c r="N33" s="16">
        <v>27.0</v>
      </c>
      <c r="O33" s="17" t="s">
        <v>53</v>
      </c>
      <c r="P33" s="18">
        <v>0.0</v>
      </c>
      <c r="Q33" s="18">
        <v>0.0</v>
      </c>
      <c r="R33" s="18">
        <f t="shared" si="3"/>
        <v>0</v>
      </c>
      <c r="S33" s="15"/>
      <c r="T33" s="16">
        <v>27.0</v>
      </c>
      <c r="U33" s="17" t="s">
        <v>53</v>
      </c>
      <c r="V33" s="18">
        <v>0.0</v>
      </c>
      <c r="W33" s="18">
        <v>3.0</v>
      </c>
      <c r="X33" s="18">
        <f t="shared" si="4"/>
        <v>3</v>
      </c>
      <c r="Y33" s="15"/>
      <c r="Z33" s="16">
        <v>27.0</v>
      </c>
      <c r="AA33" s="17" t="s">
        <v>53</v>
      </c>
      <c r="AB33" s="18">
        <v>0.0</v>
      </c>
      <c r="AC33" s="18">
        <v>1.0</v>
      </c>
      <c r="AD33" s="18">
        <v>0.0</v>
      </c>
      <c r="AE33" s="15"/>
    </row>
    <row r="34" ht="30.0" customHeight="1">
      <c r="A34" s="6"/>
      <c r="B34" s="9" t="s">
        <v>54</v>
      </c>
      <c r="C34" s="11"/>
      <c r="D34" s="19">
        <f t="shared" ref="D34:F34" si="5">SUM(D7:D33)</f>
        <v>4681</v>
      </c>
      <c r="E34" s="19">
        <f t="shared" si="5"/>
        <v>508</v>
      </c>
      <c r="F34" s="19">
        <f t="shared" si="5"/>
        <v>5189</v>
      </c>
      <c r="G34" s="6"/>
      <c r="H34" s="9" t="s">
        <v>54</v>
      </c>
      <c r="I34" s="11"/>
      <c r="J34" s="19">
        <f t="shared" ref="J34:L34" si="6">SUM(J7:J33)</f>
        <v>241</v>
      </c>
      <c r="K34" s="19">
        <f t="shared" si="6"/>
        <v>1035</v>
      </c>
      <c r="L34" s="19">
        <f t="shared" si="6"/>
        <v>1276</v>
      </c>
      <c r="M34" s="6"/>
      <c r="N34" s="9" t="s">
        <v>54</v>
      </c>
      <c r="O34" s="11"/>
      <c r="P34" s="19">
        <f t="shared" ref="P34:R34" si="7">SUM(P7:P33)</f>
        <v>60</v>
      </c>
      <c r="Q34" s="19">
        <f t="shared" si="7"/>
        <v>226</v>
      </c>
      <c r="R34" s="19">
        <f t="shared" si="7"/>
        <v>286</v>
      </c>
      <c r="S34" s="6"/>
      <c r="T34" s="9" t="s">
        <v>54</v>
      </c>
      <c r="U34" s="11"/>
      <c r="V34" s="19">
        <f t="shared" ref="V34:X34" si="8">SUM(V7:V33)</f>
        <v>28</v>
      </c>
      <c r="W34" s="19">
        <f t="shared" si="8"/>
        <v>757</v>
      </c>
      <c r="X34" s="19">
        <f t="shared" si="8"/>
        <v>785</v>
      </c>
      <c r="Y34" s="6"/>
      <c r="Z34" s="9" t="s">
        <v>54</v>
      </c>
      <c r="AA34" s="11"/>
      <c r="AB34" s="19">
        <f t="shared" ref="AB34:AD34" si="9">SUM(AB7:AB33)</f>
        <v>21</v>
      </c>
      <c r="AC34" s="19">
        <f t="shared" si="9"/>
        <v>77</v>
      </c>
      <c r="AD34" s="19">
        <f t="shared" si="9"/>
        <v>98</v>
      </c>
      <c r="AE34" s="6"/>
    </row>
    <row r="35" ht="15.0" customHeight="1">
      <c r="A35" s="1"/>
      <c r="B35" s="20" t="s">
        <v>55</v>
      </c>
      <c r="C35" s="1"/>
      <c r="D35" s="1"/>
      <c r="E35" s="1"/>
      <c r="F35" s="1"/>
      <c r="G35" s="1"/>
      <c r="H35" s="20" t="s">
        <v>55</v>
      </c>
      <c r="I35" s="1"/>
      <c r="J35" s="1"/>
      <c r="K35" s="1"/>
      <c r="L35" s="1"/>
      <c r="M35" s="1"/>
      <c r="N35" s="20" t="s">
        <v>55</v>
      </c>
      <c r="O35" s="1"/>
      <c r="P35" s="1"/>
      <c r="Q35" s="1"/>
      <c r="R35" s="1"/>
      <c r="S35" s="1"/>
      <c r="T35" s="20" t="s">
        <v>55</v>
      </c>
      <c r="U35" s="1"/>
      <c r="V35" s="1"/>
      <c r="W35" s="1"/>
      <c r="X35" s="1"/>
      <c r="Y35" s="1"/>
      <c r="Z35" s="20" t="s">
        <v>55</v>
      </c>
      <c r="AA35" s="1"/>
      <c r="AB35" s="1"/>
      <c r="AC35" s="1"/>
      <c r="AD35" s="1"/>
      <c r="AE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5.75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5.75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5.7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5">
    <mergeCell ref="V5:W5"/>
    <mergeCell ref="X5:X6"/>
    <mergeCell ref="Z5:Z6"/>
    <mergeCell ref="AA5:AA6"/>
    <mergeCell ref="AB5:AC5"/>
    <mergeCell ref="AD5:AD6"/>
    <mergeCell ref="L5:L6"/>
    <mergeCell ref="N5:N6"/>
    <mergeCell ref="O5:O6"/>
    <mergeCell ref="P5:Q5"/>
    <mergeCell ref="R5:R6"/>
    <mergeCell ref="T5:T6"/>
    <mergeCell ref="U5:U6"/>
    <mergeCell ref="B34:C34"/>
    <mergeCell ref="H34:I34"/>
    <mergeCell ref="N34:O34"/>
    <mergeCell ref="T34:U34"/>
    <mergeCell ref="Z34:AA34"/>
    <mergeCell ref="B5:B6"/>
    <mergeCell ref="C5:C6"/>
    <mergeCell ref="D5:E5"/>
    <mergeCell ref="F5:F6"/>
    <mergeCell ref="H5:H6"/>
    <mergeCell ref="I5:I6"/>
    <mergeCell ref="J5:K5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3.43"/>
    <col customWidth="1" min="3" max="3" width="20.86"/>
    <col customWidth="1" min="4" max="4" width="12.71"/>
    <col customWidth="1" min="5" max="5" width="10.71"/>
    <col customWidth="1" min="6" max="6" width="8.71"/>
    <col customWidth="1" min="7" max="7" width="12.71"/>
    <col customWidth="1" min="8" max="8" width="10.71"/>
    <col customWidth="1" min="9" max="9" width="8.71"/>
    <col customWidth="1" min="10" max="10" width="12.71"/>
    <col customWidth="1" min="11" max="11" width="10.71"/>
    <col customWidth="1" min="12" max="26" width="8.71"/>
  </cols>
  <sheetData>
    <row r="1" ht="14.25" customHeight="1">
      <c r="B1" s="21" t="s">
        <v>59</v>
      </c>
    </row>
    <row r="2" ht="14.25" customHeight="1">
      <c r="B2" s="21" t="s">
        <v>7</v>
      </c>
    </row>
    <row r="3" ht="14.25" customHeight="1">
      <c r="B3" s="21" t="s">
        <v>60</v>
      </c>
    </row>
    <row r="4" ht="14.25" customHeight="1">
      <c r="B4" s="21"/>
    </row>
    <row r="5" ht="14.25" customHeight="1">
      <c r="B5" s="22" t="s">
        <v>61</v>
      </c>
    </row>
    <row r="6" ht="19.5" customHeight="1">
      <c r="B6" s="23" t="s">
        <v>8</v>
      </c>
      <c r="C6" s="23" t="s">
        <v>62</v>
      </c>
      <c r="D6" s="24" t="s">
        <v>63</v>
      </c>
      <c r="E6" s="10"/>
      <c r="F6" s="11"/>
      <c r="G6" s="24" t="s">
        <v>64</v>
      </c>
      <c r="H6" s="10"/>
      <c r="I6" s="11"/>
      <c r="J6" s="24" t="s">
        <v>65</v>
      </c>
      <c r="K6" s="10"/>
      <c r="L6" s="11"/>
    </row>
    <row r="7" ht="19.5" customHeight="1">
      <c r="B7" s="13"/>
      <c r="C7" s="13"/>
      <c r="D7" s="25" t="s">
        <v>66</v>
      </c>
      <c r="E7" s="25" t="s">
        <v>67</v>
      </c>
      <c r="F7" s="25" t="s">
        <v>68</v>
      </c>
      <c r="G7" s="25" t="s">
        <v>66</v>
      </c>
      <c r="H7" s="25" t="s">
        <v>67</v>
      </c>
      <c r="I7" s="25" t="s">
        <v>68</v>
      </c>
      <c r="J7" s="25" t="s">
        <v>66</v>
      </c>
      <c r="K7" s="25" t="s">
        <v>67</v>
      </c>
      <c r="L7" s="25" t="s">
        <v>68</v>
      </c>
    </row>
    <row r="8" ht="18.0" customHeight="1">
      <c r="B8" s="26">
        <v>1.0</v>
      </c>
      <c r="C8" s="27" t="s">
        <v>69</v>
      </c>
      <c r="D8" s="28">
        <v>451761.0</v>
      </c>
      <c r="E8" s="28">
        <v>695.0</v>
      </c>
      <c r="F8" s="29">
        <v>0.153842407821835</v>
      </c>
      <c r="G8" s="28">
        <v>38102.0</v>
      </c>
      <c r="H8" s="28">
        <v>87.0</v>
      </c>
      <c r="I8" s="29">
        <v>0.22833447063146292</v>
      </c>
      <c r="J8" s="28">
        <v>489863.0</v>
      </c>
      <c r="K8" s="28">
        <v>782.0</v>
      </c>
      <c r="L8" s="29">
        <v>0.15963646978849189</v>
      </c>
    </row>
    <row r="9" ht="18.0" customHeight="1">
      <c r="B9" s="26">
        <v>2.0</v>
      </c>
      <c r="C9" s="27" t="s">
        <v>70</v>
      </c>
      <c r="D9" s="28">
        <v>1177930.0</v>
      </c>
      <c r="E9" s="28">
        <v>3030.0</v>
      </c>
      <c r="F9" s="29">
        <v>0.25723090506227025</v>
      </c>
      <c r="G9" s="28">
        <v>346551.0</v>
      </c>
      <c r="H9" s="28">
        <v>955.0</v>
      </c>
      <c r="I9" s="29">
        <v>0.27557271512706644</v>
      </c>
      <c r="J9" s="28">
        <v>1524481.0</v>
      </c>
      <c r="K9" s="28">
        <v>3985.0</v>
      </c>
      <c r="L9" s="29">
        <v>0.26140043726356704</v>
      </c>
    </row>
    <row r="10" ht="18.0" customHeight="1">
      <c r="B10" s="26">
        <v>3.0</v>
      </c>
      <c r="C10" s="27" t="s">
        <v>71</v>
      </c>
      <c r="D10" s="28">
        <v>521822.0</v>
      </c>
      <c r="E10" s="28">
        <v>668.0</v>
      </c>
      <c r="F10" s="29">
        <v>0.12801300060173776</v>
      </c>
      <c r="G10" s="28">
        <v>70543.0</v>
      </c>
      <c r="H10" s="28">
        <v>38.0</v>
      </c>
      <c r="I10" s="29">
        <v>0.05386785364954709</v>
      </c>
      <c r="J10" s="28">
        <v>592365.0</v>
      </c>
      <c r="K10" s="28">
        <v>706.0</v>
      </c>
      <c r="L10" s="29">
        <v>0.11918327382610383</v>
      </c>
    </row>
    <row r="11" ht="18.0" customHeight="1">
      <c r="B11" s="26">
        <v>4.0</v>
      </c>
      <c r="C11" s="27" t="s">
        <v>72</v>
      </c>
      <c r="D11" s="28">
        <v>633978.0</v>
      </c>
      <c r="E11" s="28">
        <v>824.0</v>
      </c>
      <c r="F11" s="29">
        <v>0.12997296436153935</v>
      </c>
      <c r="G11" s="28">
        <v>142596.0</v>
      </c>
      <c r="H11" s="28">
        <v>131.0</v>
      </c>
      <c r="I11" s="29">
        <v>0.09186793458442033</v>
      </c>
      <c r="J11" s="28">
        <v>776574.0</v>
      </c>
      <c r="K11" s="28">
        <v>955.0</v>
      </c>
      <c r="L11" s="29">
        <v>0.12297604606901595</v>
      </c>
    </row>
    <row r="12" ht="18.0" customHeight="1">
      <c r="B12" s="26">
        <v>5.0</v>
      </c>
      <c r="C12" s="27" t="s">
        <v>73</v>
      </c>
      <c r="D12" s="28">
        <v>333373.0</v>
      </c>
      <c r="E12" s="28">
        <v>739.0</v>
      </c>
      <c r="F12" s="29">
        <v>0.22167362083912015</v>
      </c>
      <c r="G12" s="28">
        <v>35247.0</v>
      </c>
      <c r="H12" s="28">
        <v>42.0</v>
      </c>
      <c r="I12" s="29">
        <v>0.11915907736828667</v>
      </c>
      <c r="J12" s="28">
        <v>368620.0</v>
      </c>
      <c r="K12" s="28">
        <v>781.0</v>
      </c>
      <c r="L12" s="29">
        <v>0.21187130378167218</v>
      </c>
    </row>
    <row r="13" ht="18.0" customHeight="1">
      <c r="B13" s="26">
        <v>6.0</v>
      </c>
      <c r="C13" s="27" t="s">
        <v>74</v>
      </c>
      <c r="D13" s="28">
        <v>792830.0</v>
      </c>
      <c r="E13" s="28">
        <v>1767.0</v>
      </c>
      <c r="F13" s="29">
        <v>0.22287249473405393</v>
      </c>
      <c r="G13" s="28">
        <v>89181.0</v>
      </c>
      <c r="H13" s="28">
        <v>155.0</v>
      </c>
      <c r="I13" s="29">
        <v>0.17380383714019804</v>
      </c>
      <c r="J13" s="28">
        <v>882011.0</v>
      </c>
      <c r="K13" s="28">
        <v>1922.0</v>
      </c>
      <c r="L13" s="29">
        <v>0.2179111144872343</v>
      </c>
    </row>
    <row r="14" ht="18.0" customHeight="1">
      <c r="B14" s="26">
        <v>7.0</v>
      </c>
      <c r="C14" s="27" t="s">
        <v>75</v>
      </c>
      <c r="D14" s="28">
        <v>172400.0</v>
      </c>
      <c r="E14" s="28">
        <v>336.0</v>
      </c>
      <c r="F14" s="29">
        <v>0.19489559164733178</v>
      </c>
      <c r="G14" s="28">
        <v>22470.0</v>
      </c>
      <c r="H14" s="28">
        <v>25.0</v>
      </c>
      <c r="I14" s="29">
        <v>0.11125945705384957</v>
      </c>
      <c r="J14" s="28">
        <v>194870.0</v>
      </c>
      <c r="K14" s="28">
        <v>361.0</v>
      </c>
      <c r="L14" s="29">
        <v>0.1852517062657156</v>
      </c>
    </row>
    <row r="15" ht="18.0" customHeight="1">
      <c r="B15" s="26">
        <v>8.0</v>
      </c>
      <c r="C15" s="27" t="s">
        <v>76</v>
      </c>
      <c r="D15" s="28">
        <v>715542.0</v>
      </c>
      <c r="E15" s="28">
        <v>696.0</v>
      </c>
      <c r="F15" s="29">
        <v>0.09726892341749331</v>
      </c>
      <c r="G15" s="28">
        <v>83350.0</v>
      </c>
      <c r="H15" s="28">
        <v>66.0</v>
      </c>
      <c r="I15" s="29">
        <v>0.07918416316736653</v>
      </c>
      <c r="J15" s="28">
        <v>798892.0</v>
      </c>
      <c r="K15" s="28">
        <v>762.0</v>
      </c>
      <c r="L15" s="29">
        <v>0.09538210421433685</v>
      </c>
    </row>
    <row r="16" ht="18.0" customHeight="1">
      <c r="B16" s="26">
        <v>9.0</v>
      </c>
      <c r="C16" s="27" t="s">
        <v>77</v>
      </c>
      <c r="D16" s="28">
        <v>144910.0</v>
      </c>
      <c r="E16" s="28">
        <v>209.0</v>
      </c>
      <c r="F16" s="29">
        <v>0.14422745152163413</v>
      </c>
      <c r="G16" s="28">
        <v>16793.0</v>
      </c>
      <c r="H16" s="28">
        <v>6.0</v>
      </c>
      <c r="I16" s="29">
        <v>0.035729172869648065</v>
      </c>
      <c r="J16" s="28">
        <v>161703.0</v>
      </c>
      <c r="K16" s="28">
        <v>215.0</v>
      </c>
      <c r="L16" s="29">
        <v>0.13295980903260918</v>
      </c>
    </row>
    <row r="17" ht="18.0" customHeight="1">
      <c r="B17" s="26">
        <v>10.0</v>
      </c>
      <c r="C17" s="27" t="s">
        <v>78</v>
      </c>
      <c r="D17" s="28">
        <v>154046.0</v>
      </c>
      <c r="E17" s="28">
        <v>154.0</v>
      </c>
      <c r="F17" s="29">
        <v>0.09997013878971217</v>
      </c>
      <c r="G17" s="28">
        <v>73203.0</v>
      </c>
      <c r="H17" s="28">
        <v>70.0</v>
      </c>
      <c r="I17" s="29">
        <v>0.09562449626381432</v>
      </c>
      <c r="J17" s="28">
        <v>227249.0</v>
      </c>
      <c r="K17" s="28">
        <v>224.0</v>
      </c>
      <c r="L17" s="29">
        <v>0.09857029073835309</v>
      </c>
    </row>
    <row r="18" ht="18.0" customHeight="1">
      <c r="B18" s="26">
        <v>11.0</v>
      </c>
      <c r="C18" s="27" t="s">
        <v>79</v>
      </c>
      <c r="D18" s="28">
        <v>540938.0</v>
      </c>
      <c r="E18" s="28">
        <v>277.0</v>
      </c>
      <c r="F18" s="29">
        <v>0.051207347237576216</v>
      </c>
      <c r="G18" s="28">
        <v>215517.0</v>
      </c>
      <c r="H18" s="28">
        <v>165.0</v>
      </c>
      <c r="I18" s="29">
        <v>0.07656008574729603</v>
      </c>
      <c r="J18" s="28">
        <v>756455.0</v>
      </c>
      <c r="K18" s="28">
        <v>442.0</v>
      </c>
      <c r="L18" s="29">
        <v>0.058430441995888725</v>
      </c>
    </row>
    <row r="19" ht="18.0" customHeight="1">
      <c r="B19" s="30">
        <v>12.0</v>
      </c>
      <c r="C19" s="31" t="s">
        <v>80</v>
      </c>
      <c r="D19" s="32">
        <v>3891806.0</v>
      </c>
      <c r="E19" s="32">
        <v>4681.0</v>
      </c>
      <c r="F19" s="33">
        <v>0.12027834892078382</v>
      </c>
      <c r="G19" s="32">
        <v>595456.0</v>
      </c>
      <c r="H19" s="32">
        <v>508.0</v>
      </c>
      <c r="I19" s="33">
        <v>0.0853127687016337</v>
      </c>
      <c r="J19" s="32">
        <v>4487262.0</v>
      </c>
      <c r="K19" s="32">
        <v>5189.0</v>
      </c>
      <c r="L19" s="33">
        <v>0.11563844500276561</v>
      </c>
    </row>
    <row r="20" ht="18.0" customHeight="1">
      <c r="B20" s="26">
        <v>13.0</v>
      </c>
      <c r="C20" s="27" t="s">
        <v>81</v>
      </c>
      <c r="D20" s="28">
        <v>2280299.0</v>
      </c>
      <c r="E20" s="28">
        <v>1185.0</v>
      </c>
      <c r="F20" s="29">
        <v>0.05196686925705796</v>
      </c>
      <c r="G20" s="28">
        <v>314751.0</v>
      </c>
      <c r="H20" s="28">
        <v>168.0</v>
      </c>
      <c r="I20" s="29">
        <v>0.053375525415328307</v>
      </c>
      <c r="J20" s="28">
        <v>2595050.0</v>
      </c>
      <c r="K20" s="28">
        <v>1353.0</v>
      </c>
      <c r="L20" s="29">
        <v>0.05213772374328048</v>
      </c>
    </row>
    <row r="21" ht="18.0" customHeight="1">
      <c r="B21" s="26">
        <v>14.0</v>
      </c>
      <c r="C21" s="27" t="s">
        <v>82</v>
      </c>
      <c r="D21" s="28">
        <v>186752.0</v>
      </c>
      <c r="E21" s="28">
        <v>28.0</v>
      </c>
      <c r="F21" s="29">
        <v>0.014993145990404386</v>
      </c>
      <c r="G21" s="28">
        <v>83858.0</v>
      </c>
      <c r="H21" s="28">
        <v>26.0</v>
      </c>
      <c r="I21" s="29">
        <v>0.03100479381812111</v>
      </c>
      <c r="J21" s="28">
        <v>270610.0</v>
      </c>
      <c r="K21" s="28">
        <v>54.0</v>
      </c>
      <c r="L21" s="29">
        <v>0.01995491666974613</v>
      </c>
    </row>
    <row r="22" ht="18.0" customHeight="1">
      <c r="B22" s="26">
        <v>15.0</v>
      </c>
      <c r="C22" s="27" t="s">
        <v>83</v>
      </c>
      <c r="D22" s="28">
        <v>2130520.0</v>
      </c>
      <c r="E22" s="28">
        <v>1618.0</v>
      </c>
      <c r="F22" s="29">
        <v>0.07594390101946942</v>
      </c>
      <c r="G22" s="28">
        <v>400329.0</v>
      </c>
      <c r="H22" s="28">
        <v>523.0</v>
      </c>
      <c r="I22" s="29">
        <v>0.13064254650549922</v>
      </c>
      <c r="J22" s="28">
        <v>2530849.0</v>
      </c>
      <c r="K22" s="28">
        <v>2141.0</v>
      </c>
      <c r="L22" s="29">
        <v>0.08459611774546802</v>
      </c>
    </row>
    <row r="23" ht="18.0" customHeight="1">
      <c r="B23" s="26">
        <v>16.0</v>
      </c>
      <c r="C23" s="27" t="s">
        <v>84</v>
      </c>
      <c r="D23" s="28">
        <v>1009060.0</v>
      </c>
      <c r="E23" s="28">
        <v>1552.0</v>
      </c>
      <c r="F23" s="29">
        <v>0.15380651299228984</v>
      </c>
      <c r="G23" s="28">
        <v>194372.0</v>
      </c>
      <c r="H23" s="28">
        <v>222.0</v>
      </c>
      <c r="I23" s="29">
        <v>0.11421398143765564</v>
      </c>
      <c r="J23" s="28">
        <v>1203432.0</v>
      </c>
      <c r="K23" s="28">
        <v>1774.0</v>
      </c>
      <c r="L23" s="29">
        <v>0.1474117357690339</v>
      </c>
    </row>
    <row r="24" ht="18.0" customHeight="1">
      <c r="B24" s="26">
        <v>17.0</v>
      </c>
      <c r="C24" s="27" t="s">
        <v>85</v>
      </c>
      <c r="D24" s="28">
        <v>342112.0</v>
      </c>
      <c r="E24" s="28">
        <v>107.0</v>
      </c>
      <c r="F24" s="29">
        <v>0.03127630717425872</v>
      </c>
      <c r="G24" s="28">
        <v>41504.0</v>
      </c>
      <c r="H24" s="28">
        <v>29.0</v>
      </c>
      <c r="I24" s="29">
        <v>0.0698727833461835</v>
      </c>
      <c r="J24" s="28">
        <v>383616.0</v>
      </c>
      <c r="K24" s="28">
        <v>136.0</v>
      </c>
      <c r="L24" s="29">
        <v>0.03545211878545212</v>
      </c>
    </row>
    <row r="25" ht="18.0" customHeight="1">
      <c r="B25" s="26">
        <v>18.0</v>
      </c>
      <c r="C25" s="27" t="s">
        <v>86</v>
      </c>
      <c r="D25" s="28">
        <v>472151.0</v>
      </c>
      <c r="E25" s="28">
        <v>944.0</v>
      </c>
      <c r="F25" s="29">
        <v>0.19993603741176022</v>
      </c>
      <c r="G25" s="28">
        <v>40469.0</v>
      </c>
      <c r="H25" s="28">
        <v>124.0</v>
      </c>
      <c r="I25" s="29">
        <v>0.30640737354518277</v>
      </c>
      <c r="J25" s="28">
        <v>512620.0</v>
      </c>
      <c r="K25" s="28">
        <v>1068.0</v>
      </c>
      <c r="L25" s="29">
        <v>0.20834146151145097</v>
      </c>
    </row>
    <row r="26" ht="18.0" customHeight="1">
      <c r="B26" s="26">
        <v>19.0</v>
      </c>
      <c r="C26" s="27" t="s">
        <v>87</v>
      </c>
      <c r="D26" s="28">
        <v>414756.0</v>
      </c>
      <c r="E26" s="28">
        <v>1737.0</v>
      </c>
      <c r="F26" s="29">
        <v>0.4188004513497092</v>
      </c>
      <c r="G26" s="28">
        <v>248551.0</v>
      </c>
      <c r="H26" s="28">
        <v>1028.0</v>
      </c>
      <c r="I26" s="29">
        <v>0.41359720942583217</v>
      </c>
      <c r="J26" s="28">
        <v>663307.0</v>
      </c>
      <c r="K26" s="28">
        <v>2765.0</v>
      </c>
      <c r="L26" s="29">
        <v>0.4168507191994054</v>
      </c>
    </row>
    <row r="27" ht="18.0" customHeight="1">
      <c r="B27" s="26">
        <v>20.0</v>
      </c>
      <c r="C27" s="27" t="s">
        <v>88</v>
      </c>
      <c r="D27" s="28">
        <v>499855.0</v>
      </c>
      <c r="E27" s="28">
        <v>982.0</v>
      </c>
      <c r="F27" s="29">
        <v>0.19645697252203137</v>
      </c>
      <c r="G27" s="28">
        <v>63323.0</v>
      </c>
      <c r="H27" s="28">
        <v>61.0</v>
      </c>
      <c r="I27" s="29">
        <v>0.0963315067195174</v>
      </c>
      <c r="J27" s="28">
        <v>563178.0</v>
      </c>
      <c r="K27" s="28">
        <v>1043.0</v>
      </c>
      <c r="L27" s="29">
        <v>0.18519899569940587</v>
      </c>
    </row>
    <row r="28" ht="18.0" customHeight="1">
      <c r="B28" s="26">
        <v>21.0</v>
      </c>
      <c r="C28" s="27" t="s">
        <v>89</v>
      </c>
      <c r="D28" s="28">
        <v>232325.0</v>
      </c>
      <c r="E28" s="28">
        <v>370.0</v>
      </c>
      <c r="F28" s="29">
        <v>0.15925965780695148</v>
      </c>
      <c r="G28" s="28">
        <v>44096.0</v>
      </c>
      <c r="H28" s="28">
        <v>63.0</v>
      </c>
      <c r="I28" s="29">
        <v>0.1428701015965167</v>
      </c>
      <c r="J28" s="28">
        <v>276421.0</v>
      </c>
      <c r="K28" s="28">
        <v>433.0</v>
      </c>
      <c r="L28" s="29">
        <v>0.15664511741148465</v>
      </c>
    </row>
    <row r="29" ht="18.0" customHeight="1">
      <c r="B29" s="26">
        <v>22.0</v>
      </c>
      <c r="C29" s="27" t="s">
        <v>90</v>
      </c>
      <c r="D29" s="28">
        <v>318461.0</v>
      </c>
      <c r="E29" s="28">
        <v>346.0</v>
      </c>
      <c r="F29" s="29">
        <v>0.10864752669871665</v>
      </c>
      <c r="G29" s="28">
        <v>34713.0</v>
      </c>
      <c r="H29" s="28">
        <v>30.0</v>
      </c>
      <c r="I29" s="29">
        <v>0.08642295393656556</v>
      </c>
      <c r="J29" s="28">
        <v>353174.0</v>
      </c>
      <c r="K29" s="28">
        <v>376.0</v>
      </c>
      <c r="L29" s="29">
        <v>0.10646310317294025</v>
      </c>
    </row>
    <row r="30" ht="18.0" customHeight="1">
      <c r="B30" s="26">
        <v>23.0</v>
      </c>
      <c r="C30" s="27" t="s">
        <v>91</v>
      </c>
      <c r="D30" s="28">
        <v>351594.0</v>
      </c>
      <c r="E30" s="28">
        <v>489.0</v>
      </c>
      <c r="F30" s="29">
        <v>0.13908087168723016</v>
      </c>
      <c r="G30" s="28">
        <v>67878.0</v>
      </c>
      <c r="H30" s="28">
        <v>61.0</v>
      </c>
      <c r="I30" s="29">
        <v>0.08986711452900793</v>
      </c>
      <c r="J30" s="28">
        <v>419472.0</v>
      </c>
      <c r="K30" s="28">
        <v>550.0</v>
      </c>
      <c r="L30" s="29">
        <v>0.13111721402143647</v>
      </c>
    </row>
    <row r="31" ht="18.0" customHeight="1">
      <c r="B31" s="26">
        <v>24.0</v>
      </c>
      <c r="C31" s="27" t="s">
        <v>92</v>
      </c>
      <c r="D31" s="28">
        <v>69906.0</v>
      </c>
      <c r="E31" s="28">
        <v>114.0</v>
      </c>
      <c r="F31" s="29">
        <v>0.1630761308042228</v>
      </c>
      <c r="G31" s="28">
        <v>9971.0</v>
      </c>
      <c r="H31" s="28">
        <v>34.0</v>
      </c>
      <c r="I31" s="29">
        <v>0.3409888677163775</v>
      </c>
      <c r="J31" s="28">
        <v>79877.0</v>
      </c>
      <c r="K31" s="28">
        <v>148.0</v>
      </c>
      <c r="L31" s="29">
        <v>0.18528487549607522</v>
      </c>
    </row>
    <row r="32" ht="18.0" customHeight="1">
      <c r="B32" s="26">
        <v>25.0</v>
      </c>
      <c r="C32" s="27" t="s">
        <v>93</v>
      </c>
      <c r="D32" s="28">
        <v>135222.0</v>
      </c>
      <c r="E32" s="28">
        <v>283.0</v>
      </c>
      <c r="F32" s="29">
        <v>0.20928547129904898</v>
      </c>
      <c r="G32" s="28">
        <v>83601.0</v>
      </c>
      <c r="H32" s="28">
        <v>162.0</v>
      </c>
      <c r="I32" s="29">
        <v>0.19377758639250725</v>
      </c>
      <c r="J32" s="28">
        <v>218823.0</v>
      </c>
      <c r="K32" s="28">
        <v>445.0</v>
      </c>
      <c r="L32" s="29">
        <v>0.20336070705547407</v>
      </c>
    </row>
    <row r="33" ht="18.0" customHeight="1">
      <c r="B33" s="26">
        <v>26.0</v>
      </c>
      <c r="C33" s="27" t="s">
        <v>94</v>
      </c>
      <c r="D33" s="28">
        <v>284498.0</v>
      </c>
      <c r="E33" s="28">
        <v>812.0</v>
      </c>
      <c r="F33" s="29">
        <v>0.28541501170482747</v>
      </c>
      <c r="G33" s="28">
        <v>27854.0</v>
      </c>
      <c r="H33" s="28">
        <v>53.0</v>
      </c>
      <c r="I33" s="29">
        <v>0.19027787750412867</v>
      </c>
      <c r="J33" s="28">
        <v>312352.0</v>
      </c>
      <c r="K33" s="28">
        <v>865.0</v>
      </c>
      <c r="L33" s="29">
        <v>0.2769311545948161</v>
      </c>
    </row>
    <row r="34" ht="18.0" customHeight="1">
      <c r="B34" s="26">
        <v>27.0</v>
      </c>
      <c r="C34" s="27" t="s">
        <v>95</v>
      </c>
      <c r="D34" s="28">
        <v>809775.0</v>
      </c>
      <c r="E34" s="28">
        <v>1411.0</v>
      </c>
      <c r="F34" s="29">
        <v>0.17424593251211756</v>
      </c>
      <c r="G34" s="28">
        <v>73378.0</v>
      </c>
      <c r="H34" s="28">
        <v>97.0</v>
      </c>
      <c r="I34" s="29">
        <v>0.1321922101992423</v>
      </c>
      <c r="J34" s="28">
        <v>883153.0</v>
      </c>
      <c r="K34" s="28">
        <v>1508.0</v>
      </c>
      <c r="L34" s="29">
        <v>0.17075184028135557</v>
      </c>
    </row>
    <row r="35" ht="18.0" customHeight="1">
      <c r="B35" s="26">
        <v>28.0</v>
      </c>
      <c r="C35" s="27" t="s">
        <v>96</v>
      </c>
      <c r="D35" s="28">
        <v>280639.0</v>
      </c>
      <c r="E35" s="28">
        <v>637.0</v>
      </c>
      <c r="F35" s="29">
        <v>0.22698199466218166</v>
      </c>
      <c r="G35" s="28">
        <v>13531.0</v>
      </c>
      <c r="H35" s="28">
        <v>28.0</v>
      </c>
      <c r="I35" s="29">
        <v>0.20693222969477496</v>
      </c>
      <c r="J35" s="28">
        <v>294170.0</v>
      </c>
      <c r="K35" s="28">
        <v>665.0</v>
      </c>
      <c r="L35" s="29">
        <v>0.22605976136247746</v>
      </c>
    </row>
    <row r="36" ht="18.0" customHeight="1">
      <c r="B36" s="26">
        <v>29.0</v>
      </c>
      <c r="C36" s="27" t="s">
        <v>97</v>
      </c>
      <c r="D36" s="28">
        <v>103429.0</v>
      </c>
      <c r="E36" s="28">
        <v>392.0</v>
      </c>
      <c r="F36" s="29">
        <v>0.3790039544035039</v>
      </c>
      <c r="G36" s="28">
        <v>4629.0</v>
      </c>
      <c r="H36" s="28">
        <v>11.0</v>
      </c>
      <c r="I36" s="29">
        <v>0.23763231799524737</v>
      </c>
      <c r="J36" s="28">
        <v>108058.0</v>
      </c>
      <c r="K36" s="28">
        <v>403.0</v>
      </c>
      <c r="L36" s="29">
        <v>0.37294786133372815</v>
      </c>
    </row>
    <row r="37" ht="18.0" customHeight="1">
      <c r="B37" s="26">
        <v>30.0</v>
      </c>
      <c r="C37" s="27" t="s">
        <v>98</v>
      </c>
      <c r="D37" s="28">
        <v>138490.0</v>
      </c>
      <c r="E37" s="28">
        <v>293.0</v>
      </c>
      <c r="F37" s="29">
        <v>0.21156762221099</v>
      </c>
      <c r="G37" s="28">
        <v>4810.0</v>
      </c>
      <c r="H37" s="28">
        <v>1.0</v>
      </c>
      <c r="I37" s="29">
        <v>0.02079002079002079</v>
      </c>
      <c r="J37" s="28">
        <v>143300.0</v>
      </c>
      <c r="K37" s="28">
        <v>294.0</v>
      </c>
      <c r="L37" s="29">
        <v>0.20516399162595952</v>
      </c>
    </row>
    <row r="38" ht="18.0" customHeight="1">
      <c r="B38" s="26">
        <v>31.0</v>
      </c>
      <c r="C38" s="27" t="s">
        <v>99</v>
      </c>
      <c r="D38" s="28">
        <v>148862.0</v>
      </c>
      <c r="E38" s="28">
        <v>905.0</v>
      </c>
      <c r="F38" s="29">
        <v>0.6079456140586583</v>
      </c>
      <c r="G38" s="28">
        <v>58122.0</v>
      </c>
      <c r="H38" s="28">
        <v>364.0</v>
      </c>
      <c r="I38" s="29">
        <v>0.6262688826950209</v>
      </c>
      <c r="J38" s="28">
        <v>206984.0</v>
      </c>
      <c r="K38" s="28">
        <v>1269.0</v>
      </c>
      <c r="L38" s="29">
        <v>0.6130908669269122</v>
      </c>
    </row>
    <row r="39" ht="18.0" customHeight="1">
      <c r="B39" s="26">
        <v>32.0</v>
      </c>
      <c r="C39" s="27" t="s">
        <v>100</v>
      </c>
      <c r="D39" s="28">
        <v>118277.0</v>
      </c>
      <c r="E39" s="28">
        <v>610.0</v>
      </c>
      <c r="F39" s="29">
        <v>0.5157384783178471</v>
      </c>
      <c r="G39" s="28">
        <v>22861.0</v>
      </c>
      <c r="H39" s="28">
        <v>85.0</v>
      </c>
      <c r="I39" s="29">
        <v>0.37181225668168494</v>
      </c>
      <c r="J39" s="28">
        <v>141138.0</v>
      </c>
      <c r="K39" s="28">
        <v>695.0</v>
      </c>
      <c r="L39" s="29">
        <v>0.49242585271153055</v>
      </c>
    </row>
    <row r="40" ht="18.0" customHeight="1">
      <c r="B40" s="26">
        <v>33.0</v>
      </c>
      <c r="C40" s="27" t="s">
        <v>101</v>
      </c>
      <c r="D40" s="28">
        <v>67324.0</v>
      </c>
      <c r="E40" s="28">
        <v>372.0</v>
      </c>
      <c r="F40" s="29">
        <v>0.552551838868754</v>
      </c>
      <c r="G40" s="28">
        <v>49512.0</v>
      </c>
      <c r="H40" s="28">
        <v>297.0</v>
      </c>
      <c r="I40" s="29">
        <v>0.5998545807077071</v>
      </c>
      <c r="J40" s="28">
        <v>116836.0</v>
      </c>
      <c r="K40" s="28">
        <v>669.0</v>
      </c>
      <c r="L40" s="29">
        <v>0.5725974870759013</v>
      </c>
    </row>
    <row r="41" ht="18.0" customHeight="1">
      <c r="B41" s="26">
        <v>34.0</v>
      </c>
      <c r="C41" s="27" t="s">
        <v>102</v>
      </c>
      <c r="D41" s="28">
        <v>48434.0</v>
      </c>
      <c r="E41" s="28">
        <v>164.0</v>
      </c>
      <c r="F41" s="29">
        <v>0.33860511211132677</v>
      </c>
      <c r="G41" s="28">
        <v>23303.0</v>
      </c>
      <c r="H41" s="28">
        <v>92.0</v>
      </c>
      <c r="I41" s="29">
        <v>0.39479895292451617</v>
      </c>
      <c r="J41" s="28">
        <v>71737.0</v>
      </c>
      <c r="K41" s="28">
        <v>256.0</v>
      </c>
      <c r="L41" s="29">
        <v>0.3568590824818434</v>
      </c>
    </row>
    <row r="42" ht="18.0" customHeight="1">
      <c r="B42" s="26">
        <v>35.0</v>
      </c>
      <c r="C42" s="27" t="s">
        <v>103</v>
      </c>
      <c r="D42" s="28">
        <v>56014.0</v>
      </c>
      <c r="E42" s="28">
        <v>486.0</v>
      </c>
      <c r="F42" s="29">
        <v>0.8676402327989431</v>
      </c>
      <c r="G42" s="28">
        <v>38962.0</v>
      </c>
      <c r="H42" s="28">
        <v>290.0</v>
      </c>
      <c r="I42" s="29">
        <v>0.7443149735639855</v>
      </c>
      <c r="J42" s="28">
        <v>94976.0</v>
      </c>
      <c r="K42" s="28">
        <v>776.0</v>
      </c>
      <c r="L42" s="29">
        <v>0.8170485175202157</v>
      </c>
    </row>
    <row r="43" ht="18.0" customHeight="1">
      <c r="B43" s="26">
        <v>36.0</v>
      </c>
      <c r="C43" s="27" t="s">
        <v>104</v>
      </c>
      <c r="D43" s="28">
        <v>70019.0</v>
      </c>
      <c r="E43" s="28">
        <v>420.0</v>
      </c>
      <c r="F43" s="29">
        <v>0.5998371870492295</v>
      </c>
      <c r="G43" s="28">
        <v>73033.0</v>
      </c>
      <c r="H43" s="28">
        <v>592.0</v>
      </c>
      <c r="I43" s="29">
        <v>0.810592471896266</v>
      </c>
      <c r="J43" s="28">
        <v>143052.0</v>
      </c>
      <c r="K43" s="28">
        <v>1012.0</v>
      </c>
      <c r="L43" s="29">
        <v>0.7074350585800968</v>
      </c>
    </row>
    <row r="44" ht="18.0" customHeight="1">
      <c r="B44" s="26">
        <v>37.0</v>
      </c>
      <c r="C44" s="27" t="s">
        <v>105</v>
      </c>
      <c r="D44" s="28">
        <v>109443.0</v>
      </c>
      <c r="E44" s="28">
        <v>988.0</v>
      </c>
      <c r="F44" s="29">
        <v>0.9027530312582805</v>
      </c>
      <c r="G44" s="28">
        <v>30722.0</v>
      </c>
      <c r="H44" s="28">
        <v>216.0</v>
      </c>
      <c r="I44" s="29">
        <v>0.7030792266128507</v>
      </c>
      <c r="J44" s="28">
        <v>140165.0</v>
      </c>
      <c r="K44" s="28">
        <v>1204.0</v>
      </c>
      <c r="L44" s="29">
        <v>0.8589876217315306</v>
      </c>
    </row>
    <row r="45" ht="18.0" customHeight="1">
      <c r="B45" s="26">
        <v>38.0</v>
      </c>
      <c r="C45" s="27" t="s">
        <v>106</v>
      </c>
      <c r="D45" s="28">
        <v>35284.0</v>
      </c>
      <c r="E45" s="28">
        <v>205.0</v>
      </c>
      <c r="F45" s="29">
        <v>0.5809998866341685</v>
      </c>
      <c r="G45" s="28">
        <v>24943.0</v>
      </c>
      <c r="H45" s="28">
        <v>67.0</v>
      </c>
      <c r="I45" s="29">
        <v>0.26861243635488913</v>
      </c>
      <c r="J45" s="28">
        <v>60227.0</v>
      </c>
      <c r="K45" s="28">
        <v>272.0</v>
      </c>
      <c r="L45" s="29">
        <v>0.45162468660235444</v>
      </c>
    </row>
    <row r="46" ht="18.0" customHeight="1">
      <c r="B46" s="26">
        <v>39.0</v>
      </c>
      <c r="C46" s="27" t="s">
        <v>107</v>
      </c>
      <c r="D46" s="28">
        <v>11918.0</v>
      </c>
      <c r="E46" s="28">
        <v>35.0</v>
      </c>
      <c r="F46" s="29">
        <v>0.2936734351401242</v>
      </c>
      <c r="G46" s="28">
        <v>5871.0</v>
      </c>
      <c r="H46" s="28">
        <v>7.0</v>
      </c>
      <c r="I46" s="29">
        <v>0.11923011412025208</v>
      </c>
      <c r="J46" s="28">
        <v>17789.0</v>
      </c>
      <c r="K46" s="28">
        <v>42.0</v>
      </c>
      <c r="L46" s="29">
        <v>0.23610096126819943</v>
      </c>
    </row>
    <row r="47" ht="18.0" customHeight="1">
      <c r="B47" s="24" t="s">
        <v>108</v>
      </c>
      <c r="C47" s="11"/>
      <c r="D47" s="34">
        <v>2.0256755E7</v>
      </c>
      <c r="E47" s="34">
        <v>31561.0</v>
      </c>
      <c r="F47" s="35">
        <v>0.1558048167142269</v>
      </c>
      <c r="G47" s="34">
        <v>3807956.0</v>
      </c>
      <c r="H47" s="34">
        <v>6979.0</v>
      </c>
      <c r="I47" s="35">
        <v>0.18327417648733335</v>
      </c>
      <c r="J47" s="34">
        <v>2.4064711E7</v>
      </c>
      <c r="K47" s="34">
        <v>38540.0</v>
      </c>
      <c r="L47" s="35">
        <v>0.1601515181295965</v>
      </c>
    </row>
    <row r="48" ht="14.25" customHeight="1"/>
    <row r="49" ht="44.25" customHeight="1">
      <c r="B49" s="36" t="s">
        <v>109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6:B7"/>
    <mergeCell ref="C6:C7"/>
    <mergeCell ref="D6:F6"/>
    <mergeCell ref="G6:I6"/>
    <mergeCell ref="J6:L6"/>
    <mergeCell ref="B47:C47"/>
    <mergeCell ref="B49:L4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3.43"/>
    <col customWidth="1" min="3" max="3" width="20.86"/>
    <col customWidth="1" min="4" max="4" width="12.71"/>
    <col customWidth="1" min="5" max="5" width="10.71"/>
    <col customWidth="1" min="6" max="6" width="8.71"/>
    <col customWidth="1" min="7" max="7" width="12.71"/>
    <col customWidth="1" min="8" max="8" width="10.71"/>
    <col customWidth="1" min="9" max="9" width="8.71"/>
    <col customWidth="1" min="10" max="10" width="12.71"/>
    <col customWidth="1" min="11" max="11" width="10.71"/>
    <col customWidth="1" min="12" max="26" width="8.71"/>
  </cols>
  <sheetData>
    <row r="1" ht="14.25" customHeight="1">
      <c r="B1" s="21" t="s">
        <v>59</v>
      </c>
    </row>
    <row r="2" ht="14.25" customHeight="1">
      <c r="B2" s="21" t="s">
        <v>7</v>
      </c>
    </row>
    <row r="3" ht="14.25" customHeight="1">
      <c r="B3" s="21" t="s">
        <v>110</v>
      </c>
    </row>
    <row r="4" ht="14.25" customHeight="1">
      <c r="B4" s="21"/>
    </row>
    <row r="5" ht="14.25" customHeight="1">
      <c r="B5" s="22" t="s">
        <v>61</v>
      </c>
    </row>
    <row r="6" ht="19.5" customHeight="1">
      <c r="B6" s="23" t="s">
        <v>8</v>
      </c>
      <c r="C6" s="23" t="s">
        <v>62</v>
      </c>
      <c r="D6" s="24" t="s">
        <v>63</v>
      </c>
      <c r="E6" s="10"/>
      <c r="F6" s="11"/>
      <c r="G6" s="24" t="s">
        <v>64</v>
      </c>
      <c r="H6" s="10"/>
      <c r="I6" s="11"/>
      <c r="J6" s="24" t="s">
        <v>65</v>
      </c>
      <c r="K6" s="10"/>
      <c r="L6" s="11"/>
    </row>
    <row r="7" ht="19.5" customHeight="1">
      <c r="B7" s="13"/>
      <c r="C7" s="13"/>
      <c r="D7" s="25" t="s">
        <v>66</v>
      </c>
      <c r="E7" s="25" t="s">
        <v>67</v>
      </c>
      <c r="F7" s="25" t="s">
        <v>68</v>
      </c>
      <c r="G7" s="25" t="s">
        <v>66</v>
      </c>
      <c r="H7" s="25" t="s">
        <v>67</v>
      </c>
      <c r="I7" s="25" t="s">
        <v>68</v>
      </c>
      <c r="J7" s="25" t="s">
        <v>66</v>
      </c>
      <c r="K7" s="25" t="s">
        <v>67</v>
      </c>
      <c r="L7" s="25" t="s">
        <v>68</v>
      </c>
    </row>
    <row r="8" ht="18.0" customHeight="1">
      <c r="B8" s="26">
        <v>1.0</v>
      </c>
      <c r="C8" s="27" t="s">
        <v>69</v>
      </c>
      <c r="D8" s="28">
        <v>153398.0</v>
      </c>
      <c r="E8" s="28">
        <v>294.0</v>
      </c>
      <c r="F8" s="29">
        <v>0.1916583006297344</v>
      </c>
      <c r="G8" s="28">
        <v>48788.0</v>
      </c>
      <c r="H8" s="28">
        <v>104.0</v>
      </c>
      <c r="I8" s="29">
        <v>0.21316717225547266</v>
      </c>
      <c r="J8" s="28">
        <v>202186.0</v>
      </c>
      <c r="K8" s="28">
        <v>398.0</v>
      </c>
      <c r="L8" s="29">
        <v>0.1968484464799739</v>
      </c>
    </row>
    <row r="9" ht="18.0" customHeight="1">
      <c r="B9" s="26">
        <v>2.0</v>
      </c>
      <c r="C9" s="27" t="s">
        <v>70</v>
      </c>
      <c r="D9" s="28">
        <v>411355.0</v>
      </c>
      <c r="E9" s="28">
        <v>666.0</v>
      </c>
      <c r="F9" s="29">
        <v>0.16190395157467394</v>
      </c>
      <c r="G9" s="28">
        <v>210727.0</v>
      </c>
      <c r="H9" s="28">
        <v>779.0</v>
      </c>
      <c r="I9" s="29">
        <v>0.3696726095849132</v>
      </c>
      <c r="J9" s="28">
        <v>622082.0</v>
      </c>
      <c r="K9" s="28">
        <v>1445.0</v>
      </c>
      <c r="L9" s="29">
        <v>0.2322844898261001</v>
      </c>
    </row>
    <row r="10" ht="18.0" customHeight="1">
      <c r="B10" s="26">
        <v>3.0</v>
      </c>
      <c r="C10" s="27" t="s">
        <v>71</v>
      </c>
      <c r="D10" s="28">
        <v>177358.0</v>
      </c>
      <c r="E10" s="28">
        <v>229.0</v>
      </c>
      <c r="F10" s="29">
        <v>0.12911737840977006</v>
      </c>
      <c r="G10" s="28">
        <v>24144.0</v>
      </c>
      <c r="H10" s="28">
        <v>17.0</v>
      </c>
      <c r="I10" s="29">
        <v>0.07041086812458582</v>
      </c>
      <c r="J10" s="28">
        <v>201502.0</v>
      </c>
      <c r="K10" s="28">
        <v>246.0</v>
      </c>
      <c r="L10" s="29">
        <v>0.12208315550217864</v>
      </c>
    </row>
    <row r="11" ht="18.0" customHeight="1">
      <c r="B11" s="26">
        <v>4.0</v>
      </c>
      <c r="C11" s="27" t="s">
        <v>72</v>
      </c>
      <c r="D11" s="28">
        <v>204418.0</v>
      </c>
      <c r="E11" s="28">
        <v>175.0</v>
      </c>
      <c r="F11" s="29">
        <v>0.08560889941198917</v>
      </c>
      <c r="G11" s="28">
        <v>56952.0</v>
      </c>
      <c r="H11" s="28">
        <v>95.0</v>
      </c>
      <c r="I11" s="29">
        <v>0.1668071358336845</v>
      </c>
      <c r="J11" s="28">
        <v>261370.0</v>
      </c>
      <c r="K11" s="28">
        <v>270.0</v>
      </c>
      <c r="L11" s="29">
        <v>0.10330183265103111</v>
      </c>
    </row>
    <row r="12" ht="18.0" customHeight="1">
      <c r="B12" s="26">
        <v>5.0</v>
      </c>
      <c r="C12" s="27" t="s">
        <v>73</v>
      </c>
      <c r="D12" s="28">
        <v>98709.0</v>
      </c>
      <c r="E12" s="28">
        <v>150.0</v>
      </c>
      <c r="F12" s="29">
        <v>0.15196182718901013</v>
      </c>
      <c r="G12" s="28">
        <v>21047.0</v>
      </c>
      <c r="H12" s="28">
        <v>19.0</v>
      </c>
      <c r="I12" s="29">
        <v>0.09027414833467953</v>
      </c>
      <c r="J12" s="28">
        <v>119756.0</v>
      </c>
      <c r="K12" s="28">
        <v>169.0</v>
      </c>
      <c r="L12" s="29">
        <v>0.1411202778983934</v>
      </c>
    </row>
    <row r="13" ht="18.0" customHeight="1">
      <c r="B13" s="26">
        <v>6.0</v>
      </c>
      <c r="C13" s="27" t="s">
        <v>74</v>
      </c>
      <c r="D13" s="28">
        <v>287347.0</v>
      </c>
      <c r="E13" s="28">
        <v>287.0</v>
      </c>
      <c r="F13" s="29">
        <v>0.09987924008254827</v>
      </c>
      <c r="G13" s="28">
        <v>69133.0</v>
      </c>
      <c r="H13" s="28">
        <v>171.0</v>
      </c>
      <c r="I13" s="29">
        <v>0.24734931219533365</v>
      </c>
      <c r="J13" s="28">
        <v>356480.0</v>
      </c>
      <c r="K13" s="28">
        <v>458.0</v>
      </c>
      <c r="L13" s="29">
        <v>0.12847845601436264</v>
      </c>
    </row>
    <row r="14" ht="18.0" customHeight="1">
      <c r="B14" s="26">
        <v>7.0</v>
      </c>
      <c r="C14" s="27" t="s">
        <v>75</v>
      </c>
      <c r="D14" s="28">
        <v>76883.0</v>
      </c>
      <c r="E14" s="28">
        <v>104.0</v>
      </c>
      <c r="F14" s="29">
        <v>0.13527047591795324</v>
      </c>
      <c r="G14" s="28">
        <v>8619.0</v>
      </c>
      <c r="H14" s="28">
        <v>17.0</v>
      </c>
      <c r="I14" s="29">
        <v>0.19723865877712032</v>
      </c>
      <c r="J14" s="28">
        <v>85502.0</v>
      </c>
      <c r="K14" s="28">
        <v>121.0</v>
      </c>
      <c r="L14" s="29">
        <v>0.14151715749339197</v>
      </c>
    </row>
    <row r="15" ht="18.0" customHeight="1">
      <c r="B15" s="26">
        <v>8.0</v>
      </c>
      <c r="C15" s="27" t="s">
        <v>76</v>
      </c>
      <c r="D15" s="28">
        <v>242619.0</v>
      </c>
      <c r="E15" s="28">
        <v>108.0</v>
      </c>
      <c r="F15" s="29">
        <v>0.04451423837374649</v>
      </c>
      <c r="G15" s="28">
        <v>94325.0</v>
      </c>
      <c r="H15" s="28">
        <v>58.0</v>
      </c>
      <c r="I15" s="29">
        <v>0.06148953087728598</v>
      </c>
      <c r="J15" s="28">
        <v>336944.0</v>
      </c>
      <c r="K15" s="28">
        <v>166.0</v>
      </c>
      <c r="L15" s="29">
        <v>0.049266346930053655</v>
      </c>
    </row>
    <row r="16" ht="18.0" customHeight="1">
      <c r="B16" s="26">
        <v>9.0</v>
      </c>
      <c r="C16" s="27" t="s">
        <v>77</v>
      </c>
      <c r="D16" s="28">
        <v>53607.0</v>
      </c>
      <c r="E16" s="28">
        <v>25.0</v>
      </c>
      <c r="F16" s="29">
        <v>0.04663570056149383</v>
      </c>
      <c r="G16" s="28">
        <v>9605.0</v>
      </c>
      <c r="H16" s="28">
        <v>7.0</v>
      </c>
      <c r="I16" s="29">
        <v>0.07287870900572618</v>
      </c>
      <c r="J16" s="28">
        <v>63212.0</v>
      </c>
      <c r="K16" s="28">
        <v>32.0</v>
      </c>
      <c r="L16" s="29">
        <v>0.05062329937353667</v>
      </c>
    </row>
    <row r="17" ht="18.0" customHeight="1">
      <c r="B17" s="26">
        <v>10.0</v>
      </c>
      <c r="C17" s="27" t="s">
        <v>78</v>
      </c>
      <c r="D17" s="28">
        <v>75301.0</v>
      </c>
      <c r="E17" s="28">
        <v>8.0</v>
      </c>
      <c r="F17" s="29">
        <v>0.010624028897358601</v>
      </c>
      <c r="G17" s="28">
        <v>23918.0</v>
      </c>
      <c r="H17" s="28">
        <v>7.0</v>
      </c>
      <c r="I17" s="29">
        <v>0.029266661092064553</v>
      </c>
      <c r="J17" s="28">
        <v>99219.0</v>
      </c>
      <c r="K17" s="28">
        <v>15.0</v>
      </c>
      <c r="L17" s="29">
        <v>0.01511807214344027</v>
      </c>
    </row>
    <row r="18" ht="18.0" customHeight="1">
      <c r="B18" s="26">
        <v>11.0</v>
      </c>
      <c r="C18" s="27" t="s">
        <v>79</v>
      </c>
      <c r="D18" s="28">
        <v>212200.0</v>
      </c>
      <c r="E18" s="28">
        <v>3.0</v>
      </c>
      <c r="F18" s="29">
        <v>0.0014137606032045239</v>
      </c>
      <c r="G18" s="28">
        <v>135658.0</v>
      </c>
      <c r="H18" s="28">
        <v>39.0</v>
      </c>
      <c r="I18" s="29">
        <v>0.028748765277388726</v>
      </c>
      <c r="J18" s="28">
        <v>347858.0</v>
      </c>
      <c r="K18" s="28">
        <v>42.0</v>
      </c>
      <c r="L18" s="29">
        <v>0.01207389222038878</v>
      </c>
    </row>
    <row r="19" ht="18.0" customHeight="1">
      <c r="B19" s="30">
        <v>12.0</v>
      </c>
      <c r="C19" s="31" t="s">
        <v>80</v>
      </c>
      <c r="D19" s="32">
        <v>1140073.0</v>
      </c>
      <c r="E19" s="32">
        <v>241.0</v>
      </c>
      <c r="F19" s="33">
        <v>0.021138997239650445</v>
      </c>
      <c r="G19" s="32">
        <v>676108.0</v>
      </c>
      <c r="H19" s="32">
        <v>1035.0</v>
      </c>
      <c r="I19" s="33">
        <v>0.15308205197986122</v>
      </c>
      <c r="J19" s="32">
        <v>1816181.0</v>
      </c>
      <c r="K19" s="32">
        <v>1276.0</v>
      </c>
      <c r="L19" s="33">
        <v>0.07025731466191971</v>
      </c>
    </row>
    <row r="20" ht="18.0" customHeight="1">
      <c r="B20" s="26">
        <v>13.0</v>
      </c>
      <c r="C20" s="27" t="s">
        <v>81</v>
      </c>
      <c r="D20" s="28">
        <v>926618.0</v>
      </c>
      <c r="E20" s="28">
        <v>158.0</v>
      </c>
      <c r="F20" s="29">
        <v>0.017051255209805983</v>
      </c>
      <c r="G20" s="28">
        <v>281686.0</v>
      </c>
      <c r="H20" s="28">
        <v>229.0</v>
      </c>
      <c r="I20" s="29">
        <v>0.0812961950540673</v>
      </c>
      <c r="J20" s="28">
        <v>1208304.0</v>
      </c>
      <c r="K20" s="28">
        <v>387.0</v>
      </c>
      <c r="L20" s="29">
        <v>0.032028363723036586</v>
      </c>
    </row>
    <row r="21" ht="18.0" customHeight="1">
      <c r="B21" s="26">
        <v>14.0</v>
      </c>
      <c r="C21" s="27" t="s">
        <v>82</v>
      </c>
      <c r="D21" s="28">
        <v>92471.0</v>
      </c>
      <c r="E21" s="28">
        <v>3.0</v>
      </c>
      <c r="F21" s="29">
        <v>0.0032442603627083084</v>
      </c>
      <c r="G21" s="28">
        <v>40084.0</v>
      </c>
      <c r="H21" s="28">
        <v>2.0</v>
      </c>
      <c r="I21" s="29">
        <v>0.004989522003792037</v>
      </c>
      <c r="J21" s="28">
        <v>132555.0</v>
      </c>
      <c r="K21" s="28">
        <v>5.0</v>
      </c>
      <c r="L21" s="29">
        <v>0.0037720191618573424</v>
      </c>
    </row>
    <row r="22" ht="18.0" customHeight="1">
      <c r="B22" s="26">
        <v>15.0</v>
      </c>
      <c r="C22" s="27" t="s">
        <v>83</v>
      </c>
      <c r="D22" s="28">
        <v>811528.0</v>
      </c>
      <c r="E22" s="28">
        <v>415.0</v>
      </c>
      <c r="F22" s="29">
        <v>0.05113809997929831</v>
      </c>
      <c r="G22" s="28">
        <v>418894.0</v>
      </c>
      <c r="H22" s="28">
        <v>1365.0</v>
      </c>
      <c r="I22" s="29">
        <v>0.32585809297817586</v>
      </c>
      <c r="J22" s="28">
        <v>1230422.0</v>
      </c>
      <c r="K22" s="28">
        <v>1780.0</v>
      </c>
      <c r="L22" s="29">
        <v>0.1446658138427304</v>
      </c>
    </row>
    <row r="23" ht="18.0" customHeight="1">
      <c r="B23" s="26">
        <v>16.0</v>
      </c>
      <c r="C23" s="27" t="s">
        <v>84</v>
      </c>
      <c r="D23" s="28">
        <v>277317.0</v>
      </c>
      <c r="E23" s="28">
        <v>129.0</v>
      </c>
      <c r="F23" s="29">
        <v>0.046517162669436056</v>
      </c>
      <c r="G23" s="28">
        <v>164556.0</v>
      </c>
      <c r="H23" s="28">
        <v>146.0</v>
      </c>
      <c r="I23" s="29">
        <v>0.08872359561486667</v>
      </c>
      <c r="J23" s="28">
        <v>441873.0</v>
      </c>
      <c r="K23" s="28">
        <v>275.0</v>
      </c>
      <c r="L23" s="29">
        <v>0.06223507659440608</v>
      </c>
    </row>
    <row r="24" ht="18.0" customHeight="1">
      <c r="B24" s="26">
        <v>17.0</v>
      </c>
      <c r="C24" s="27" t="s">
        <v>85</v>
      </c>
      <c r="D24" s="28">
        <v>159809.0</v>
      </c>
      <c r="E24" s="28">
        <v>30.0</v>
      </c>
      <c r="F24" s="29">
        <v>0.018772409563916924</v>
      </c>
      <c r="G24" s="28">
        <v>26194.0</v>
      </c>
      <c r="H24" s="28">
        <v>13.0</v>
      </c>
      <c r="I24" s="29">
        <v>0.049629686187676575</v>
      </c>
      <c r="J24" s="28">
        <v>186003.0</v>
      </c>
      <c r="K24" s="28">
        <v>43.0</v>
      </c>
      <c r="L24" s="29">
        <v>0.023117906700429566</v>
      </c>
    </row>
    <row r="25" ht="18.0" customHeight="1">
      <c r="B25" s="26">
        <v>18.0</v>
      </c>
      <c r="C25" s="27" t="s">
        <v>86</v>
      </c>
      <c r="D25" s="28">
        <v>133977.0</v>
      </c>
      <c r="E25" s="28">
        <v>199.0</v>
      </c>
      <c r="F25" s="29">
        <v>0.14853295714936146</v>
      </c>
      <c r="G25" s="28">
        <v>39980.0</v>
      </c>
      <c r="H25" s="28">
        <v>188.0</v>
      </c>
      <c r="I25" s="29">
        <v>0.4702351175587794</v>
      </c>
      <c r="J25" s="28">
        <v>173957.0</v>
      </c>
      <c r="K25" s="28">
        <v>387.0</v>
      </c>
      <c r="L25" s="29">
        <v>0.22246877101812518</v>
      </c>
    </row>
    <row r="26" ht="18.0" customHeight="1">
      <c r="B26" s="26">
        <v>19.0</v>
      </c>
      <c r="C26" s="27" t="s">
        <v>87</v>
      </c>
      <c r="D26" s="28">
        <v>241833.0</v>
      </c>
      <c r="E26" s="28">
        <v>514.0</v>
      </c>
      <c r="F26" s="29">
        <v>0.2125433667034689</v>
      </c>
      <c r="G26" s="28">
        <v>74983.0</v>
      </c>
      <c r="H26" s="28">
        <v>172.0</v>
      </c>
      <c r="I26" s="29">
        <v>0.22938532734086392</v>
      </c>
      <c r="J26" s="28">
        <v>316816.0</v>
      </c>
      <c r="K26" s="28">
        <v>686.0</v>
      </c>
      <c r="L26" s="29">
        <v>0.21652946820867633</v>
      </c>
    </row>
    <row r="27" ht="18.0" customHeight="1">
      <c r="B27" s="26">
        <v>20.0</v>
      </c>
      <c r="C27" s="27" t="s">
        <v>88</v>
      </c>
      <c r="D27" s="28">
        <v>186019.0</v>
      </c>
      <c r="E27" s="28">
        <v>269.0</v>
      </c>
      <c r="F27" s="29">
        <v>0.14460888403872724</v>
      </c>
      <c r="G27" s="28">
        <v>43911.0</v>
      </c>
      <c r="H27" s="28">
        <v>133.0</v>
      </c>
      <c r="I27" s="29">
        <v>0.3028853817949944</v>
      </c>
      <c r="J27" s="28">
        <v>229930.0</v>
      </c>
      <c r="K27" s="28">
        <v>402.0</v>
      </c>
      <c r="L27" s="29">
        <v>0.17483581959726874</v>
      </c>
    </row>
    <row r="28" ht="18.0" customHeight="1">
      <c r="B28" s="26">
        <v>21.0</v>
      </c>
      <c r="C28" s="27" t="s">
        <v>89</v>
      </c>
      <c r="D28" s="28">
        <v>86866.0</v>
      </c>
      <c r="E28" s="28">
        <v>163.0</v>
      </c>
      <c r="F28" s="29">
        <v>0.18764533879768838</v>
      </c>
      <c r="G28" s="28">
        <v>18636.0</v>
      </c>
      <c r="H28" s="28">
        <v>27.0</v>
      </c>
      <c r="I28" s="29">
        <v>0.14488087572440436</v>
      </c>
      <c r="J28" s="28">
        <v>105502.0</v>
      </c>
      <c r="K28" s="28">
        <v>190.0</v>
      </c>
      <c r="L28" s="29">
        <v>0.1800913726753995</v>
      </c>
    </row>
    <row r="29" ht="18.0" customHeight="1">
      <c r="B29" s="26">
        <v>22.0</v>
      </c>
      <c r="C29" s="27" t="s">
        <v>90</v>
      </c>
      <c r="D29" s="28">
        <v>98906.0</v>
      </c>
      <c r="E29" s="28">
        <v>121.0</v>
      </c>
      <c r="F29" s="29">
        <v>0.12233838189796371</v>
      </c>
      <c r="G29" s="28">
        <v>13883.0</v>
      </c>
      <c r="H29" s="28">
        <v>10.0</v>
      </c>
      <c r="I29" s="29">
        <v>0.07203054094936252</v>
      </c>
      <c r="J29" s="28">
        <v>112789.0</v>
      </c>
      <c r="K29" s="28">
        <v>131.0</v>
      </c>
      <c r="L29" s="29">
        <v>0.11614607807498957</v>
      </c>
    </row>
    <row r="30" ht="18.0" customHeight="1">
      <c r="B30" s="26">
        <v>23.0</v>
      </c>
      <c r="C30" s="27" t="s">
        <v>91</v>
      </c>
      <c r="D30" s="28">
        <v>129945.0</v>
      </c>
      <c r="E30" s="28">
        <v>109.0</v>
      </c>
      <c r="F30" s="29">
        <v>0.08388164223325253</v>
      </c>
      <c r="G30" s="28">
        <v>31929.0</v>
      </c>
      <c r="H30" s="28">
        <v>23.0</v>
      </c>
      <c r="I30" s="29">
        <v>0.072034827273012</v>
      </c>
      <c r="J30" s="28">
        <v>161874.0</v>
      </c>
      <c r="K30" s="28">
        <v>132.0</v>
      </c>
      <c r="L30" s="29">
        <v>0.08154490529671225</v>
      </c>
    </row>
    <row r="31" ht="18.0" customHeight="1">
      <c r="B31" s="26">
        <v>24.0</v>
      </c>
      <c r="C31" s="27" t="s">
        <v>92</v>
      </c>
      <c r="D31" s="28">
        <v>29278.0</v>
      </c>
      <c r="E31" s="28">
        <v>31.0</v>
      </c>
      <c r="F31" s="29">
        <v>0.10588154928615343</v>
      </c>
      <c r="G31" s="28">
        <v>3815.0</v>
      </c>
      <c r="H31" s="28">
        <v>3.0</v>
      </c>
      <c r="I31" s="29">
        <v>0.07863695937090433</v>
      </c>
      <c r="J31" s="28">
        <v>33093.0</v>
      </c>
      <c r="K31" s="28">
        <v>34.0</v>
      </c>
      <c r="L31" s="29">
        <v>0.10274076088598798</v>
      </c>
    </row>
    <row r="32" ht="18.0" customHeight="1">
      <c r="B32" s="26">
        <v>25.0</v>
      </c>
      <c r="C32" s="27" t="s">
        <v>93</v>
      </c>
      <c r="D32" s="28">
        <v>74181.0</v>
      </c>
      <c r="E32" s="28">
        <v>130.0</v>
      </c>
      <c r="F32" s="29">
        <v>0.17524703091088015</v>
      </c>
      <c r="G32" s="28">
        <v>24159.0</v>
      </c>
      <c r="H32" s="28">
        <v>55.0</v>
      </c>
      <c r="I32" s="29">
        <v>0.22765842957076038</v>
      </c>
      <c r="J32" s="28">
        <v>98340.0</v>
      </c>
      <c r="K32" s="28">
        <v>185.0</v>
      </c>
      <c r="L32" s="29">
        <v>0.18812283912955052</v>
      </c>
    </row>
    <row r="33" ht="18.0" customHeight="1">
      <c r="B33" s="26">
        <v>26.0</v>
      </c>
      <c r="C33" s="27" t="s">
        <v>94</v>
      </c>
      <c r="D33" s="28">
        <v>101706.0</v>
      </c>
      <c r="E33" s="28">
        <v>327.0</v>
      </c>
      <c r="F33" s="29">
        <v>0.32151495486991916</v>
      </c>
      <c r="G33" s="28">
        <v>11527.0</v>
      </c>
      <c r="H33" s="28">
        <v>29.0</v>
      </c>
      <c r="I33" s="29">
        <v>0.2515832393510887</v>
      </c>
      <c r="J33" s="28">
        <v>113233.0</v>
      </c>
      <c r="K33" s="28">
        <v>356.0</v>
      </c>
      <c r="L33" s="29">
        <v>0.3143959799705033</v>
      </c>
    </row>
    <row r="34" ht="18.0" customHeight="1">
      <c r="B34" s="26">
        <v>27.0</v>
      </c>
      <c r="C34" s="27" t="s">
        <v>95</v>
      </c>
      <c r="D34" s="28">
        <v>278068.0</v>
      </c>
      <c r="E34" s="28">
        <v>584.0</v>
      </c>
      <c r="F34" s="29">
        <v>0.2100205705079333</v>
      </c>
      <c r="G34" s="28">
        <v>53082.0</v>
      </c>
      <c r="H34" s="28">
        <v>145.0</v>
      </c>
      <c r="I34" s="29">
        <v>0.2731622772314532</v>
      </c>
      <c r="J34" s="28">
        <v>331150.0</v>
      </c>
      <c r="K34" s="28">
        <v>729.0</v>
      </c>
      <c r="L34" s="29">
        <v>0.22014192963913634</v>
      </c>
    </row>
    <row r="35" ht="18.0" customHeight="1">
      <c r="B35" s="26">
        <v>28.0</v>
      </c>
      <c r="C35" s="27" t="s">
        <v>96</v>
      </c>
      <c r="D35" s="28">
        <v>108768.0</v>
      </c>
      <c r="E35" s="28">
        <v>146.0</v>
      </c>
      <c r="F35" s="29">
        <v>0.13423065607531628</v>
      </c>
      <c r="G35" s="28">
        <v>8034.0</v>
      </c>
      <c r="H35" s="28">
        <v>18.0</v>
      </c>
      <c r="I35" s="29">
        <v>0.22404779686333084</v>
      </c>
      <c r="J35" s="28">
        <v>116802.0</v>
      </c>
      <c r="K35" s="28">
        <v>164.0</v>
      </c>
      <c r="L35" s="29">
        <v>0.14040855464803687</v>
      </c>
    </row>
    <row r="36" ht="18.0" customHeight="1">
      <c r="B36" s="26">
        <v>29.0</v>
      </c>
      <c r="C36" s="27" t="s">
        <v>97</v>
      </c>
      <c r="D36" s="28">
        <v>39019.0</v>
      </c>
      <c r="E36" s="28">
        <v>130.0</v>
      </c>
      <c r="F36" s="29">
        <v>0.3331710192470335</v>
      </c>
      <c r="G36" s="28">
        <v>2406.0</v>
      </c>
      <c r="H36" s="28">
        <v>6.0</v>
      </c>
      <c r="I36" s="29">
        <v>0.24937655860349126</v>
      </c>
      <c r="J36" s="28">
        <v>41425.0</v>
      </c>
      <c r="K36" s="28">
        <v>136.0</v>
      </c>
      <c r="L36" s="29">
        <v>0.3283041641520821</v>
      </c>
    </row>
    <row r="37" ht="18.0" customHeight="1">
      <c r="B37" s="26">
        <v>30.0</v>
      </c>
      <c r="C37" s="27" t="s">
        <v>98</v>
      </c>
      <c r="D37" s="28">
        <v>46261.0</v>
      </c>
      <c r="E37" s="28">
        <v>159.0</v>
      </c>
      <c r="F37" s="29">
        <v>0.34370203843410213</v>
      </c>
      <c r="G37" s="28">
        <v>4961.0</v>
      </c>
      <c r="H37" s="28">
        <v>25.0</v>
      </c>
      <c r="I37" s="29">
        <v>0.5039306591413021</v>
      </c>
      <c r="J37" s="28">
        <v>51222.0</v>
      </c>
      <c r="K37" s="28">
        <v>184.0</v>
      </c>
      <c r="L37" s="29">
        <v>0.35922064737807974</v>
      </c>
    </row>
    <row r="38" ht="18.0" customHeight="1">
      <c r="B38" s="26">
        <v>31.0</v>
      </c>
      <c r="C38" s="27" t="s">
        <v>99</v>
      </c>
      <c r="D38" s="28">
        <v>73152.0</v>
      </c>
      <c r="E38" s="28">
        <v>183.0</v>
      </c>
      <c r="F38" s="29">
        <v>0.2501640419947507</v>
      </c>
      <c r="G38" s="28">
        <v>16284.0</v>
      </c>
      <c r="H38" s="28">
        <v>30.0</v>
      </c>
      <c r="I38" s="29">
        <v>0.18422991893883567</v>
      </c>
      <c r="J38" s="28">
        <v>89436.0</v>
      </c>
      <c r="K38" s="28">
        <v>213.0</v>
      </c>
      <c r="L38" s="29">
        <v>0.2381591305514558</v>
      </c>
    </row>
    <row r="39" ht="18.0" customHeight="1">
      <c r="B39" s="26">
        <v>32.0</v>
      </c>
      <c r="C39" s="27" t="s">
        <v>100</v>
      </c>
      <c r="D39" s="28">
        <v>46391.0</v>
      </c>
      <c r="E39" s="28">
        <v>111.0</v>
      </c>
      <c r="F39" s="29">
        <v>0.2392705481666703</v>
      </c>
      <c r="G39" s="28">
        <v>13331.0</v>
      </c>
      <c r="H39" s="28">
        <v>67.0</v>
      </c>
      <c r="I39" s="29">
        <v>0.5025879528917561</v>
      </c>
      <c r="J39" s="28">
        <v>59722.0</v>
      </c>
      <c r="K39" s="28">
        <v>178.0</v>
      </c>
      <c r="L39" s="29">
        <v>0.2980476206423094</v>
      </c>
    </row>
    <row r="40" ht="18.0" customHeight="1">
      <c r="B40" s="26">
        <v>33.0</v>
      </c>
      <c r="C40" s="27" t="s">
        <v>101</v>
      </c>
      <c r="D40" s="28">
        <v>38710.0</v>
      </c>
      <c r="E40" s="28">
        <v>101.0</v>
      </c>
      <c r="F40" s="29">
        <v>0.26091449237923015</v>
      </c>
      <c r="G40" s="28">
        <v>12378.0</v>
      </c>
      <c r="H40" s="28">
        <v>28.0</v>
      </c>
      <c r="I40" s="29">
        <v>0.22620778801098726</v>
      </c>
      <c r="J40" s="28">
        <v>51088.0</v>
      </c>
      <c r="K40" s="28">
        <v>129.0</v>
      </c>
      <c r="L40" s="29">
        <v>0.2525054807391168</v>
      </c>
    </row>
    <row r="41" ht="18.0" customHeight="1">
      <c r="B41" s="26">
        <v>34.0</v>
      </c>
      <c r="C41" s="27" t="s">
        <v>102</v>
      </c>
      <c r="D41" s="28">
        <v>20785.0</v>
      </c>
      <c r="E41" s="28">
        <v>28.0</v>
      </c>
      <c r="F41" s="29">
        <v>0.13471253307673803</v>
      </c>
      <c r="G41" s="28">
        <v>6684.0</v>
      </c>
      <c r="H41" s="28">
        <v>11.0</v>
      </c>
      <c r="I41" s="29">
        <v>0.16457211250748055</v>
      </c>
      <c r="J41" s="28">
        <v>27469.0</v>
      </c>
      <c r="K41" s="28">
        <v>39.0</v>
      </c>
      <c r="L41" s="29">
        <v>0.14197823000473261</v>
      </c>
    </row>
    <row r="42" ht="18.0" customHeight="1">
      <c r="B42" s="26">
        <v>35.0</v>
      </c>
      <c r="C42" s="27" t="s">
        <v>103</v>
      </c>
      <c r="D42" s="28">
        <v>20959.0</v>
      </c>
      <c r="E42" s="28">
        <v>132.0</v>
      </c>
      <c r="F42" s="29">
        <v>0.6298010401259602</v>
      </c>
      <c r="G42" s="28">
        <v>6633.0</v>
      </c>
      <c r="H42" s="28">
        <v>32.0</v>
      </c>
      <c r="I42" s="29">
        <v>0.4824363033318257</v>
      </c>
      <c r="J42" s="28">
        <v>27592.0</v>
      </c>
      <c r="K42" s="28">
        <v>164.0</v>
      </c>
      <c r="L42" s="29">
        <v>0.5943751812119454</v>
      </c>
    </row>
    <row r="43" ht="18.0" customHeight="1">
      <c r="B43" s="26">
        <v>36.0</v>
      </c>
      <c r="C43" s="27" t="s">
        <v>104</v>
      </c>
      <c r="D43" s="28">
        <v>27354.0</v>
      </c>
      <c r="E43" s="28">
        <v>211.0</v>
      </c>
      <c r="F43" s="29">
        <v>0.7713679900562989</v>
      </c>
      <c r="G43" s="28">
        <v>13250.0</v>
      </c>
      <c r="H43" s="28">
        <v>24.0</v>
      </c>
      <c r="I43" s="29">
        <v>0.1811320754716981</v>
      </c>
      <c r="J43" s="28">
        <v>40604.0</v>
      </c>
      <c r="K43" s="28">
        <v>235.0</v>
      </c>
      <c r="L43" s="29">
        <v>0.5787607132302236</v>
      </c>
    </row>
    <row r="44" ht="18.0" customHeight="1">
      <c r="B44" s="26">
        <v>37.0</v>
      </c>
      <c r="C44" s="27" t="s">
        <v>105</v>
      </c>
      <c r="D44" s="28">
        <v>32795.0</v>
      </c>
      <c r="E44" s="28">
        <v>306.0</v>
      </c>
      <c r="F44" s="29">
        <v>0.9330690654063118</v>
      </c>
      <c r="G44" s="28">
        <v>9018.0</v>
      </c>
      <c r="H44" s="28">
        <v>36.0</v>
      </c>
      <c r="I44" s="29">
        <v>0.39920159680638717</v>
      </c>
      <c r="J44" s="28">
        <v>41813.0</v>
      </c>
      <c r="K44" s="28">
        <v>342.0</v>
      </c>
      <c r="L44" s="29">
        <v>0.8179274388348121</v>
      </c>
    </row>
    <row r="45" ht="18.0" customHeight="1">
      <c r="B45" s="26">
        <v>38.0</v>
      </c>
      <c r="C45" s="27" t="s">
        <v>106</v>
      </c>
      <c r="D45" s="28">
        <v>17856.0</v>
      </c>
      <c r="E45" s="28">
        <v>21.0</v>
      </c>
      <c r="F45" s="29">
        <v>0.11760752688172044</v>
      </c>
      <c r="G45" s="28">
        <v>6794.0</v>
      </c>
      <c r="H45" s="28">
        <v>24.0</v>
      </c>
      <c r="I45" s="29">
        <v>0.3532528701795702</v>
      </c>
      <c r="J45" s="28">
        <v>24650.0</v>
      </c>
      <c r="K45" s="28">
        <v>45.0</v>
      </c>
      <c r="L45" s="29">
        <v>0.18255578093306288</v>
      </c>
    </row>
    <row r="46" ht="18.0" customHeight="1">
      <c r="B46" s="26">
        <v>39.0</v>
      </c>
      <c r="C46" s="27" t="s">
        <v>107</v>
      </c>
      <c r="D46" s="28">
        <v>4692.0</v>
      </c>
      <c r="E46" s="28">
        <v>21.0</v>
      </c>
      <c r="F46" s="29">
        <v>0.4475703324808184</v>
      </c>
      <c r="G46" s="28">
        <v>1470.0</v>
      </c>
      <c r="H46" s="28">
        <v>9.0</v>
      </c>
      <c r="I46" s="29">
        <v>0.6122448979591837</v>
      </c>
      <c r="J46" s="28">
        <v>6162.0</v>
      </c>
      <c r="K46" s="28">
        <v>30.0</v>
      </c>
      <c r="L46" s="29">
        <v>0.4868549172346641</v>
      </c>
    </row>
    <row r="47" ht="18.0" customHeight="1">
      <c r="B47" s="24" t="s">
        <v>108</v>
      </c>
      <c r="C47" s="11"/>
      <c r="D47" s="34">
        <v>7238532.0</v>
      </c>
      <c r="E47" s="34">
        <v>7021.0</v>
      </c>
      <c r="F47" s="35">
        <v>0.0969948050240021</v>
      </c>
      <c r="G47" s="34">
        <v>2727586.0</v>
      </c>
      <c r="H47" s="34">
        <v>5198.0</v>
      </c>
      <c r="I47" s="35">
        <v>0.19057144302691098</v>
      </c>
      <c r="J47" s="34">
        <v>9966118.0</v>
      </c>
      <c r="K47" s="34">
        <v>12219.0</v>
      </c>
      <c r="L47" s="35">
        <v>0.12260541165577207</v>
      </c>
    </row>
    <row r="48" ht="14.25" customHeight="1"/>
    <row r="49" ht="44.25" customHeight="1">
      <c r="B49" s="36" t="s">
        <v>111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6:B7"/>
    <mergeCell ref="C6:C7"/>
    <mergeCell ref="D6:F6"/>
    <mergeCell ref="G6:I6"/>
    <mergeCell ref="J6:L6"/>
    <mergeCell ref="B47:C47"/>
    <mergeCell ref="B49:L4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3.43"/>
    <col customWidth="1" min="3" max="3" width="20.86"/>
    <col customWidth="1" min="4" max="4" width="12.71"/>
    <col customWidth="1" min="5" max="5" width="10.71"/>
    <col customWidth="1" min="6" max="6" width="8.71"/>
    <col customWidth="1" min="7" max="7" width="12.71"/>
    <col customWidth="1" min="8" max="8" width="10.71"/>
    <col customWidth="1" min="9" max="9" width="8.71"/>
    <col customWidth="1" min="10" max="10" width="12.71"/>
    <col customWidth="1" min="11" max="11" width="10.71"/>
    <col customWidth="1" min="12" max="26" width="8.71"/>
  </cols>
  <sheetData>
    <row r="1" ht="14.25" customHeight="1">
      <c r="B1" s="21" t="s">
        <v>59</v>
      </c>
    </row>
    <row r="2" ht="14.25" customHeight="1">
      <c r="B2" s="21" t="s">
        <v>7</v>
      </c>
    </row>
    <row r="3" ht="14.25" customHeight="1">
      <c r="B3" s="21" t="s">
        <v>112</v>
      </c>
    </row>
    <row r="4" ht="14.25" customHeight="1">
      <c r="B4" s="21"/>
    </row>
    <row r="5" ht="14.25" customHeight="1">
      <c r="B5" s="22" t="s">
        <v>61</v>
      </c>
    </row>
    <row r="6" ht="19.5" customHeight="1">
      <c r="B6" s="23" t="s">
        <v>8</v>
      </c>
      <c r="C6" s="23" t="s">
        <v>62</v>
      </c>
      <c r="D6" s="24" t="s">
        <v>63</v>
      </c>
      <c r="E6" s="10"/>
      <c r="F6" s="11"/>
      <c r="G6" s="24" t="s">
        <v>64</v>
      </c>
      <c r="H6" s="10"/>
      <c r="I6" s="11"/>
      <c r="J6" s="24" t="s">
        <v>65</v>
      </c>
      <c r="K6" s="10"/>
      <c r="L6" s="11"/>
    </row>
    <row r="7" ht="19.5" customHeight="1">
      <c r="B7" s="13"/>
      <c r="C7" s="13"/>
      <c r="D7" s="25" t="s">
        <v>66</v>
      </c>
      <c r="E7" s="25" t="s">
        <v>67</v>
      </c>
      <c r="F7" s="25" t="s">
        <v>68</v>
      </c>
      <c r="G7" s="25" t="s">
        <v>66</v>
      </c>
      <c r="H7" s="25" t="s">
        <v>67</v>
      </c>
      <c r="I7" s="25" t="s">
        <v>68</v>
      </c>
      <c r="J7" s="25" t="s">
        <v>66</v>
      </c>
      <c r="K7" s="25" t="s">
        <v>67</v>
      </c>
      <c r="L7" s="25" t="s">
        <v>68</v>
      </c>
    </row>
    <row r="8" ht="18.0" customHeight="1">
      <c r="B8" s="26">
        <v>1.0</v>
      </c>
      <c r="C8" s="27" t="s">
        <v>69</v>
      </c>
      <c r="D8" s="28">
        <v>118487.0</v>
      </c>
      <c r="E8" s="28">
        <v>124.0</v>
      </c>
      <c r="F8" s="29">
        <v>0.10465283111227393</v>
      </c>
      <c r="G8" s="28">
        <v>19170.0</v>
      </c>
      <c r="H8" s="28">
        <v>69.0</v>
      </c>
      <c r="I8" s="29">
        <v>0.35993740219092335</v>
      </c>
      <c r="J8" s="28">
        <v>137657.0</v>
      </c>
      <c r="K8" s="28">
        <v>193.0</v>
      </c>
      <c r="L8" s="29">
        <v>0.14020354940177399</v>
      </c>
    </row>
    <row r="9" ht="18.0" customHeight="1">
      <c r="B9" s="26">
        <v>2.0</v>
      </c>
      <c r="C9" s="27" t="s">
        <v>70</v>
      </c>
      <c r="D9" s="28">
        <v>248734.0</v>
      </c>
      <c r="E9" s="28">
        <v>378.0</v>
      </c>
      <c r="F9" s="29">
        <v>0.15196957392234275</v>
      </c>
      <c r="G9" s="28">
        <v>141165.0</v>
      </c>
      <c r="H9" s="28">
        <v>602.0</v>
      </c>
      <c r="I9" s="29">
        <v>0.42645131583607837</v>
      </c>
      <c r="J9" s="28">
        <v>389899.0</v>
      </c>
      <c r="K9" s="28">
        <v>980.0</v>
      </c>
      <c r="L9" s="29">
        <v>0.2513471437474833</v>
      </c>
    </row>
    <row r="10" ht="18.0" customHeight="1">
      <c r="B10" s="26">
        <v>3.0</v>
      </c>
      <c r="C10" s="27" t="s">
        <v>71</v>
      </c>
      <c r="D10" s="28">
        <v>138979.0</v>
      </c>
      <c r="E10" s="28">
        <v>161.0</v>
      </c>
      <c r="F10" s="29">
        <v>0.11584483986789372</v>
      </c>
      <c r="G10" s="28">
        <v>14556.0</v>
      </c>
      <c r="H10" s="28">
        <v>47.0</v>
      </c>
      <c r="I10" s="29">
        <v>0.3228909040945315</v>
      </c>
      <c r="J10" s="28">
        <v>153535.0</v>
      </c>
      <c r="K10" s="28">
        <v>208.0</v>
      </c>
      <c r="L10" s="29">
        <v>0.135473996157228</v>
      </c>
    </row>
    <row r="11" ht="18.0" customHeight="1">
      <c r="B11" s="26">
        <v>4.0</v>
      </c>
      <c r="C11" s="27" t="s">
        <v>72</v>
      </c>
      <c r="D11" s="28">
        <v>148011.0</v>
      </c>
      <c r="E11" s="28">
        <v>90.0</v>
      </c>
      <c r="F11" s="29">
        <v>0.060806291424286035</v>
      </c>
      <c r="G11" s="28">
        <v>24284.0</v>
      </c>
      <c r="H11" s="28">
        <v>35.0</v>
      </c>
      <c r="I11" s="29">
        <v>0.1441278207873497</v>
      </c>
      <c r="J11" s="28">
        <v>172295.0</v>
      </c>
      <c r="K11" s="28">
        <v>125.0</v>
      </c>
      <c r="L11" s="29">
        <v>0.07254998694100234</v>
      </c>
    </row>
    <row r="12" ht="18.0" customHeight="1">
      <c r="B12" s="26">
        <v>5.0</v>
      </c>
      <c r="C12" s="27" t="s">
        <v>73</v>
      </c>
      <c r="D12" s="28">
        <v>71000.0</v>
      </c>
      <c r="E12" s="28">
        <v>77.0</v>
      </c>
      <c r="F12" s="29">
        <v>0.10845070422535212</v>
      </c>
      <c r="G12" s="28">
        <v>10429.0</v>
      </c>
      <c r="H12" s="28">
        <v>4.0</v>
      </c>
      <c r="I12" s="29">
        <v>0.03835458816760955</v>
      </c>
      <c r="J12" s="28">
        <v>81429.0</v>
      </c>
      <c r="K12" s="28">
        <v>81.0</v>
      </c>
      <c r="L12" s="29">
        <v>0.09947316066757543</v>
      </c>
    </row>
    <row r="13" ht="18.0" customHeight="1">
      <c r="B13" s="26">
        <v>6.0</v>
      </c>
      <c r="C13" s="27" t="s">
        <v>74</v>
      </c>
      <c r="D13" s="28">
        <v>171193.0</v>
      </c>
      <c r="E13" s="28">
        <v>97.0</v>
      </c>
      <c r="F13" s="29">
        <v>0.056661195259151954</v>
      </c>
      <c r="G13" s="28">
        <v>48921.0</v>
      </c>
      <c r="H13" s="28">
        <v>184.0</v>
      </c>
      <c r="I13" s="29">
        <v>0.37611659614480486</v>
      </c>
      <c r="J13" s="28">
        <v>220114.0</v>
      </c>
      <c r="K13" s="28">
        <v>281.0</v>
      </c>
      <c r="L13" s="29">
        <v>0.12766112105545308</v>
      </c>
    </row>
    <row r="14" ht="18.0" customHeight="1">
      <c r="B14" s="26">
        <v>7.0</v>
      </c>
      <c r="C14" s="27" t="s">
        <v>75</v>
      </c>
      <c r="D14" s="28">
        <v>51685.0</v>
      </c>
      <c r="E14" s="28">
        <v>48.0</v>
      </c>
      <c r="F14" s="29">
        <v>0.09287027183902487</v>
      </c>
      <c r="G14" s="28">
        <v>3009.0</v>
      </c>
      <c r="H14" s="28">
        <v>4.0</v>
      </c>
      <c r="I14" s="29">
        <v>0.13293452974410103</v>
      </c>
      <c r="J14" s="28">
        <v>54694.0</v>
      </c>
      <c r="K14" s="28">
        <v>52.0</v>
      </c>
      <c r="L14" s="29">
        <v>0.09507441401250595</v>
      </c>
    </row>
    <row r="15" ht="18.0" customHeight="1">
      <c r="B15" s="26">
        <v>8.0</v>
      </c>
      <c r="C15" s="27" t="s">
        <v>76</v>
      </c>
      <c r="D15" s="28">
        <v>128161.0</v>
      </c>
      <c r="E15" s="28">
        <v>30.0</v>
      </c>
      <c r="F15" s="29">
        <v>0.023408057053237723</v>
      </c>
      <c r="G15" s="28">
        <v>44657.0</v>
      </c>
      <c r="H15" s="28">
        <v>88.0</v>
      </c>
      <c r="I15" s="29">
        <v>0.19705757216113934</v>
      </c>
      <c r="J15" s="28">
        <v>172818.0</v>
      </c>
      <c r="K15" s="28">
        <v>118.0</v>
      </c>
      <c r="L15" s="29">
        <v>0.06827992454489694</v>
      </c>
    </row>
    <row r="16" ht="18.0" customHeight="1">
      <c r="B16" s="26">
        <v>9.0</v>
      </c>
      <c r="C16" s="27" t="s">
        <v>77</v>
      </c>
      <c r="D16" s="28">
        <v>27129.0</v>
      </c>
      <c r="E16" s="28">
        <v>12.0</v>
      </c>
      <c r="F16" s="29">
        <v>0.044233108481698556</v>
      </c>
      <c r="G16" s="28">
        <v>4325.0</v>
      </c>
      <c r="H16" s="28"/>
      <c r="I16" s="29">
        <v>0.0</v>
      </c>
      <c r="J16" s="28">
        <v>31454.0</v>
      </c>
      <c r="K16" s="28">
        <v>12.0</v>
      </c>
      <c r="L16" s="29">
        <v>0.03815095059451898</v>
      </c>
    </row>
    <row r="17" ht="18.0" customHeight="1">
      <c r="B17" s="26">
        <v>10.0</v>
      </c>
      <c r="C17" s="27" t="s">
        <v>78</v>
      </c>
      <c r="D17" s="28">
        <v>49014.0</v>
      </c>
      <c r="E17" s="28">
        <v>17.0</v>
      </c>
      <c r="F17" s="29">
        <v>0.03468396784592157</v>
      </c>
      <c r="G17" s="28">
        <v>8261.0</v>
      </c>
      <c r="H17" s="28">
        <v>6.0</v>
      </c>
      <c r="I17" s="29">
        <v>0.0726304321510713</v>
      </c>
      <c r="J17" s="28">
        <v>57275.0</v>
      </c>
      <c r="K17" s="28">
        <v>23.0</v>
      </c>
      <c r="L17" s="29">
        <v>0.04015713662156264</v>
      </c>
    </row>
    <row r="18" ht="18.0" customHeight="1">
      <c r="B18" s="26">
        <v>11.0</v>
      </c>
      <c r="C18" s="27" t="s">
        <v>79</v>
      </c>
      <c r="D18" s="28">
        <v>88181.0</v>
      </c>
      <c r="E18" s="28">
        <v>2.0</v>
      </c>
      <c r="F18" s="29">
        <v>0.0022680622809902362</v>
      </c>
      <c r="G18" s="28">
        <v>103924.0</v>
      </c>
      <c r="H18" s="28">
        <v>11.0</v>
      </c>
      <c r="I18" s="29">
        <v>0.010584658019321812</v>
      </c>
      <c r="J18" s="28">
        <v>192105.0</v>
      </c>
      <c r="K18" s="28">
        <v>13.0</v>
      </c>
      <c r="L18" s="29">
        <v>0.006767132557715833</v>
      </c>
    </row>
    <row r="19" ht="18.0" customHeight="1">
      <c r="B19" s="30">
        <v>12.0</v>
      </c>
      <c r="C19" s="31" t="s">
        <v>80</v>
      </c>
      <c r="D19" s="32">
        <v>530509.0</v>
      </c>
      <c r="E19" s="32">
        <v>60.0</v>
      </c>
      <c r="F19" s="33">
        <v>0.01130989295186321</v>
      </c>
      <c r="G19" s="32">
        <v>293262.0</v>
      </c>
      <c r="H19" s="32">
        <v>226.0</v>
      </c>
      <c r="I19" s="33">
        <v>0.07706419515654943</v>
      </c>
      <c r="J19" s="32">
        <v>823771.0</v>
      </c>
      <c r="K19" s="32">
        <v>286.0</v>
      </c>
      <c r="L19" s="33">
        <v>0.03471838654189089</v>
      </c>
    </row>
    <row r="20" ht="18.0" customHeight="1">
      <c r="B20" s="26">
        <v>13.0</v>
      </c>
      <c r="C20" s="27" t="s">
        <v>81</v>
      </c>
      <c r="D20" s="28">
        <v>343035.0</v>
      </c>
      <c r="E20" s="28">
        <v>61.0</v>
      </c>
      <c r="F20" s="29">
        <v>0.017782442024866268</v>
      </c>
      <c r="G20" s="28">
        <v>109919.0</v>
      </c>
      <c r="H20" s="28">
        <v>165.0</v>
      </c>
      <c r="I20" s="29">
        <v>0.15011053594010135</v>
      </c>
      <c r="J20" s="28">
        <v>452954.0</v>
      </c>
      <c r="K20" s="28">
        <v>226.0</v>
      </c>
      <c r="L20" s="29">
        <v>0.0498946912931556</v>
      </c>
    </row>
    <row r="21" ht="18.0" customHeight="1">
      <c r="B21" s="26">
        <v>14.0</v>
      </c>
      <c r="C21" s="27" t="s">
        <v>82</v>
      </c>
      <c r="D21" s="28">
        <v>43387.0</v>
      </c>
      <c r="E21" s="28"/>
      <c r="F21" s="29">
        <v>0.0</v>
      </c>
      <c r="G21" s="28">
        <v>17744.0</v>
      </c>
      <c r="H21" s="28"/>
      <c r="I21" s="29">
        <v>0.0</v>
      </c>
      <c r="J21" s="28">
        <v>61131.0</v>
      </c>
      <c r="K21" s="28">
        <v>0.0</v>
      </c>
      <c r="L21" s="29">
        <v>0.0</v>
      </c>
    </row>
    <row r="22" ht="18.0" customHeight="1">
      <c r="B22" s="26">
        <v>15.0</v>
      </c>
      <c r="C22" s="27" t="s">
        <v>83</v>
      </c>
      <c r="D22" s="28">
        <v>351429.0</v>
      </c>
      <c r="E22" s="28">
        <v>173.0</v>
      </c>
      <c r="F22" s="29">
        <v>0.04922758224278588</v>
      </c>
      <c r="G22" s="28">
        <v>197252.0</v>
      </c>
      <c r="H22" s="28">
        <v>564.0</v>
      </c>
      <c r="I22" s="29">
        <v>0.2859286597854521</v>
      </c>
      <c r="J22" s="28">
        <v>548681.0</v>
      </c>
      <c r="K22" s="28">
        <v>737.0</v>
      </c>
      <c r="L22" s="29">
        <v>0.13432212888727693</v>
      </c>
    </row>
    <row r="23" ht="18.0" customHeight="1">
      <c r="B23" s="26">
        <v>16.0</v>
      </c>
      <c r="C23" s="27" t="s">
        <v>84</v>
      </c>
      <c r="D23" s="28">
        <v>144431.0</v>
      </c>
      <c r="E23" s="28">
        <v>94.0</v>
      </c>
      <c r="F23" s="29">
        <v>0.06508298080052066</v>
      </c>
      <c r="G23" s="28">
        <v>80877.0</v>
      </c>
      <c r="H23" s="28">
        <v>83.0</v>
      </c>
      <c r="I23" s="29">
        <v>0.10262497372553384</v>
      </c>
      <c r="J23" s="28">
        <v>225308.0</v>
      </c>
      <c r="K23" s="28">
        <v>177.0</v>
      </c>
      <c r="L23" s="29">
        <v>0.07855912794929608</v>
      </c>
    </row>
    <row r="24" ht="18.0" customHeight="1">
      <c r="B24" s="26">
        <v>17.0</v>
      </c>
      <c r="C24" s="27" t="s">
        <v>85</v>
      </c>
      <c r="D24" s="28">
        <v>81893.0</v>
      </c>
      <c r="E24" s="28">
        <v>9.0</v>
      </c>
      <c r="F24" s="29">
        <v>0.010989950301002527</v>
      </c>
      <c r="G24" s="28">
        <v>13792.0</v>
      </c>
      <c r="H24" s="28">
        <v>2.0</v>
      </c>
      <c r="I24" s="29">
        <v>0.014501160092807424</v>
      </c>
      <c r="J24" s="28">
        <v>95685.0</v>
      </c>
      <c r="K24" s="28">
        <v>11.0</v>
      </c>
      <c r="L24" s="29">
        <v>0.011496054763024507</v>
      </c>
    </row>
    <row r="25" ht="18.0" customHeight="1">
      <c r="B25" s="26">
        <v>18.0</v>
      </c>
      <c r="C25" s="27" t="s">
        <v>86</v>
      </c>
      <c r="D25" s="28">
        <v>96571.0</v>
      </c>
      <c r="E25" s="28">
        <v>230.0</v>
      </c>
      <c r="F25" s="29">
        <v>0.23816673742634953</v>
      </c>
      <c r="G25" s="28">
        <v>20349.0</v>
      </c>
      <c r="H25" s="28">
        <v>155.0</v>
      </c>
      <c r="I25" s="29">
        <v>0.7617081920487493</v>
      </c>
      <c r="J25" s="28">
        <v>116920.0</v>
      </c>
      <c r="K25" s="28">
        <v>385.0</v>
      </c>
      <c r="L25" s="29">
        <v>0.32928498118371535</v>
      </c>
    </row>
    <row r="26" ht="18.0" customHeight="1">
      <c r="B26" s="26">
        <v>19.0</v>
      </c>
      <c r="C26" s="27" t="s">
        <v>87</v>
      </c>
      <c r="D26" s="28">
        <v>145341.0</v>
      </c>
      <c r="E26" s="28">
        <v>350.0</v>
      </c>
      <c r="F26" s="29">
        <v>0.24081298463613157</v>
      </c>
      <c r="G26" s="28">
        <v>61698.0</v>
      </c>
      <c r="H26" s="28">
        <v>198.0</v>
      </c>
      <c r="I26" s="29">
        <v>0.3209180200330643</v>
      </c>
      <c r="J26" s="28">
        <v>207039.0</v>
      </c>
      <c r="K26" s="28">
        <v>548.0</v>
      </c>
      <c r="L26" s="29">
        <v>0.2646844314356232</v>
      </c>
    </row>
    <row r="27" ht="18.0" customHeight="1">
      <c r="B27" s="26">
        <v>20.0</v>
      </c>
      <c r="C27" s="27" t="s">
        <v>88</v>
      </c>
      <c r="D27" s="28">
        <v>102734.0</v>
      </c>
      <c r="E27" s="28">
        <v>133.0</v>
      </c>
      <c r="F27" s="29">
        <v>0.12946054860124206</v>
      </c>
      <c r="G27" s="28">
        <v>29833.0</v>
      </c>
      <c r="H27" s="28">
        <v>78.0</v>
      </c>
      <c r="I27" s="29">
        <v>0.2614554352562598</v>
      </c>
      <c r="J27" s="28">
        <v>132567.0</v>
      </c>
      <c r="K27" s="28">
        <v>211.0</v>
      </c>
      <c r="L27" s="29">
        <v>0.1591647996861964</v>
      </c>
    </row>
    <row r="28" ht="18.0" customHeight="1">
      <c r="B28" s="26">
        <v>21.0</v>
      </c>
      <c r="C28" s="27" t="s">
        <v>89</v>
      </c>
      <c r="D28" s="28">
        <v>56103.0</v>
      </c>
      <c r="E28" s="28">
        <v>83.0</v>
      </c>
      <c r="F28" s="29">
        <v>0.14794217778015434</v>
      </c>
      <c r="G28" s="28">
        <v>6568.0</v>
      </c>
      <c r="H28" s="28">
        <v>15.0</v>
      </c>
      <c r="I28" s="29">
        <v>0.22838002436053592</v>
      </c>
      <c r="J28" s="28">
        <v>62671.0</v>
      </c>
      <c r="K28" s="28">
        <v>98.0</v>
      </c>
      <c r="L28" s="29">
        <v>0.1563721657544957</v>
      </c>
    </row>
    <row r="29" ht="18.0" customHeight="1">
      <c r="B29" s="26">
        <v>22.0</v>
      </c>
      <c r="C29" s="27" t="s">
        <v>90</v>
      </c>
      <c r="D29" s="28">
        <v>60883.0</v>
      </c>
      <c r="E29" s="28">
        <v>20.0</v>
      </c>
      <c r="F29" s="29">
        <v>0.032849892416602335</v>
      </c>
      <c r="G29" s="28">
        <v>7281.0</v>
      </c>
      <c r="H29" s="28">
        <v>14.0</v>
      </c>
      <c r="I29" s="29">
        <v>0.19228128004395</v>
      </c>
      <c r="J29" s="28">
        <v>68164.0</v>
      </c>
      <c r="K29" s="28">
        <v>34.0</v>
      </c>
      <c r="L29" s="29">
        <v>0.049879701895428674</v>
      </c>
    </row>
    <row r="30" ht="18.0" customHeight="1">
      <c r="B30" s="26">
        <v>23.0</v>
      </c>
      <c r="C30" s="27" t="s">
        <v>91</v>
      </c>
      <c r="D30" s="28">
        <v>68792.0</v>
      </c>
      <c r="E30" s="28">
        <v>32.0</v>
      </c>
      <c r="F30" s="29">
        <v>0.04651703686475171</v>
      </c>
      <c r="G30" s="28">
        <v>13541.0</v>
      </c>
      <c r="H30" s="28">
        <v>25.0</v>
      </c>
      <c r="I30" s="29">
        <v>0.1846244738202496</v>
      </c>
      <c r="J30" s="28">
        <v>82333.0</v>
      </c>
      <c r="K30" s="28">
        <v>57.0</v>
      </c>
      <c r="L30" s="29">
        <v>0.0692310495184191</v>
      </c>
    </row>
    <row r="31" ht="18.0" customHeight="1">
      <c r="B31" s="26">
        <v>24.0</v>
      </c>
      <c r="C31" s="27" t="s">
        <v>92</v>
      </c>
      <c r="D31" s="28">
        <v>16080.0</v>
      </c>
      <c r="E31" s="28">
        <v>17.0</v>
      </c>
      <c r="F31" s="29">
        <v>0.10572139303482588</v>
      </c>
      <c r="G31" s="28">
        <v>2806.0</v>
      </c>
      <c r="H31" s="28">
        <v>22.0</v>
      </c>
      <c r="I31" s="29">
        <v>0.7840342124019958</v>
      </c>
      <c r="J31" s="28">
        <v>18886.0</v>
      </c>
      <c r="K31" s="28">
        <v>39.0</v>
      </c>
      <c r="L31" s="29">
        <v>0.2065021709202584</v>
      </c>
    </row>
    <row r="32" ht="18.0" customHeight="1">
      <c r="B32" s="26">
        <v>25.0</v>
      </c>
      <c r="C32" s="27" t="s">
        <v>93</v>
      </c>
      <c r="D32" s="28">
        <v>50115.0</v>
      </c>
      <c r="E32" s="28">
        <v>15.0</v>
      </c>
      <c r="F32" s="29">
        <v>0.029931158335827598</v>
      </c>
      <c r="G32" s="28">
        <v>13452.0</v>
      </c>
      <c r="H32" s="28">
        <v>9.0</v>
      </c>
      <c r="I32" s="29">
        <v>0.06690454950936663</v>
      </c>
      <c r="J32" s="28">
        <v>63567.0</v>
      </c>
      <c r="K32" s="28">
        <v>24.0</v>
      </c>
      <c r="L32" s="29">
        <v>0.037755439142951534</v>
      </c>
    </row>
    <row r="33" ht="18.0" customHeight="1">
      <c r="B33" s="26">
        <v>26.0</v>
      </c>
      <c r="C33" s="27" t="s">
        <v>94</v>
      </c>
      <c r="D33" s="28">
        <v>73086.0</v>
      </c>
      <c r="E33" s="28">
        <v>137.0</v>
      </c>
      <c r="F33" s="29">
        <v>0.18745040089757273</v>
      </c>
      <c r="G33" s="28">
        <v>6780.0</v>
      </c>
      <c r="H33" s="28">
        <v>22.0</v>
      </c>
      <c r="I33" s="29">
        <v>0.32448377581120946</v>
      </c>
      <c r="J33" s="28">
        <v>79866.0</v>
      </c>
      <c r="K33" s="28">
        <v>159.0</v>
      </c>
      <c r="L33" s="29">
        <v>0.19908346480354594</v>
      </c>
    </row>
    <row r="34" ht="18.0" customHeight="1">
      <c r="B34" s="26">
        <v>27.0</v>
      </c>
      <c r="C34" s="27" t="s">
        <v>95</v>
      </c>
      <c r="D34" s="28">
        <v>193254.0</v>
      </c>
      <c r="E34" s="28">
        <v>195.0</v>
      </c>
      <c r="F34" s="29">
        <v>0.10090347418423422</v>
      </c>
      <c r="G34" s="28">
        <v>36763.0</v>
      </c>
      <c r="H34" s="28">
        <v>214.0</v>
      </c>
      <c r="I34" s="29">
        <v>0.5821070097652531</v>
      </c>
      <c r="J34" s="28">
        <v>230017.0</v>
      </c>
      <c r="K34" s="28">
        <v>409.0</v>
      </c>
      <c r="L34" s="29">
        <v>0.1778129442606416</v>
      </c>
    </row>
    <row r="35" ht="18.0" customHeight="1">
      <c r="B35" s="26">
        <v>28.0</v>
      </c>
      <c r="C35" s="27" t="s">
        <v>96</v>
      </c>
      <c r="D35" s="28">
        <v>89328.0</v>
      </c>
      <c r="E35" s="28">
        <v>137.0</v>
      </c>
      <c r="F35" s="29">
        <v>0.1533673652158338</v>
      </c>
      <c r="G35" s="28">
        <v>5209.0</v>
      </c>
      <c r="H35" s="28">
        <v>17.0</v>
      </c>
      <c r="I35" s="29">
        <v>0.3263582261470532</v>
      </c>
      <c r="J35" s="28">
        <v>94537.0</v>
      </c>
      <c r="K35" s="28">
        <v>154.0</v>
      </c>
      <c r="L35" s="29">
        <v>0.16289918233072764</v>
      </c>
    </row>
    <row r="36" ht="18.0" customHeight="1">
      <c r="B36" s="26">
        <v>29.0</v>
      </c>
      <c r="C36" s="27" t="s">
        <v>97</v>
      </c>
      <c r="D36" s="28">
        <v>30376.0</v>
      </c>
      <c r="E36" s="28">
        <v>138.0</v>
      </c>
      <c r="F36" s="29">
        <v>0.45430603107716616</v>
      </c>
      <c r="G36" s="28">
        <v>1270.0</v>
      </c>
      <c r="H36" s="28">
        <v>9.0</v>
      </c>
      <c r="I36" s="29">
        <v>0.7086614173228346</v>
      </c>
      <c r="J36" s="28">
        <v>31646.0</v>
      </c>
      <c r="K36" s="28">
        <v>147.0</v>
      </c>
      <c r="L36" s="29">
        <v>0.4645136826139164</v>
      </c>
    </row>
    <row r="37" ht="18.0" customHeight="1">
      <c r="B37" s="26">
        <v>30.0</v>
      </c>
      <c r="C37" s="27" t="s">
        <v>98</v>
      </c>
      <c r="D37" s="28">
        <v>28370.0</v>
      </c>
      <c r="E37" s="28">
        <v>69.0</v>
      </c>
      <c r="F37" s="29">
        <v>0.2432146633768065</v>
      </c>
      <c r="G37" s="28">
        <v>1295.0</v>
      </c>
      <c r="H37" s="28">
        <v>21.0</v>
      </c>
      <c r="I37" s="29">
        <v>1.6216216216216217</v>
      </c>
      <c r="J37" s="28">
        <v>29665.0</v>
      </c>
      <c r="K37" s="28">
        <v>90.0</v>
      </c>
      <c r="L37" s="29">
        <v>0.30338783077701</v>
      </c>
    </row>
    <row r="38" ht="18.0" customHeight="1">
      <c r="B38" s="26">
        <v>31.0</v>
      </c>
      <c r="C38" s="27" t="s">
        <v>99</v>
      </c>
      <c r="D38" s="28">
        <v>57822.0</v>
      </c>
      <c r="E38" s="28">
        <v>143.0</v>
      </c>
      <c r="F38" s="29">
        <v>0.24731071218567327</v>
      </c>
      <c r="G38" s="28">
        <v>11768.0</v>
      </c>
      <c r="H38" s="28">
        <v>43.0</v>
      </c>
      <c r="I38" s="29">
        <v>0.3653976886471788</v>
      </c>
      <c r="J38" s="28">
        <v>69590.0</v>
      </c>
      <c r="K38" s="28">
        <v>186.0</v>
      </c>
      <c r="L38" s="29">
        <v>0.2672797815778129</v>
      </c>
    </row>
    <row r="39" ht="18.0" customHeight="1">
      <c r="B39" s="26">
        <v>32.0</v>
      </c>
      <c r="C39" s="27" t="s">
        <v>100</v>
      </c>
      <c r="D39" s="28">
        <v>35868.0</v>
      </c>
      <c r="E39" s="28">
        <v>117.0</v>
      </c>
      <c r="F39" s="29">
        <v>0.3261960521913684</v>
      </c>
      <c r="G39" s="28">
        <v>8941.0</v>
      </c>
      <c r="H39" s="28">
        <v>24.0</v>
      </c>
      <c r="I39" s="29">
        <v>0.2684263505200761</v>
      </c>
      <c r="J39" s="28">
        <v>44809.0</v>
      </c>
      <c r="K39" s="28">
        <v>141.0</v>
      </c>
      <c r="L39" s="29">
        <v>0.31466892811711933</v>
      </c>
    </row>
    <row r="40" ht="18.0" customHeight="1">
      <c r="B40" s="26">
        <v>33.0</v>
      </c>
      <c r="C40" s="27" t="s">
        <v>101</v>
      </c>
      <c r="D40" s="28">
        <v>22167.0</v>
      </c>
      <c r="E40" s="28">
        <v>14.0</v>
      </c>
      <c r="F40" s="29">
        <v>0.06315694500834573</v>
      </c>
      <c r="G40" s="28">
        <v>11102.0</v>
      </c>
      <c r="H40" s="28">
        <v>19.0</v>
      </c>
      <c r="I40" s="29">
        <v>0.1711403350747613</v>
      </c>
      <c r="J40" s="28">
        <v>33269.0</v>
      </c>
      <c r="K40" s="28">
        <v>33.0</v>
      </c>
      <c r="L40" s="29">
        <v>0.09919143947819291</v>
      </c>
    </row>
    <row r="41" ht="18.0" customHeight="1">
      <c r="B41" s="26">
        <v>34.0</v>
      </c>
      <c r="C41" s="27" t="s">
        <v>102</v>
      </c>
      <c r="D41" s="28">
        <v>13327.0</v>
      </c>
      <c r="E41" s="28">
        <v>40.0</v>
      </c>
      <c r="F41" s="29">
        <v>0.30014256771966685</v>
      </c>
      <c r="G41" s="28">
        <v>3554.0</v>
      </c>
      <c r="H41" s="28">
        <v>11.0</v>
      </c>
      <c r="I41" s="29">
        <v>0.3095104108047271</v>
      </c>
      <c r="J41" s="28">
        <v>16881.0</v>
      </c>
      <c r="K41" s="28">
        <v>51.0</v>
      </c>
      <c r="L41" s="29">
        <v>0.3021148036253776</v>
      </c>
    </row>
    <row r="42" ht="18.0" customHeight="1">
      <c r="B42" s="26">
        <v>35.0</v>
      </c>
      <c r="C42" s="27" t="s">
        <v>103</v>
      </c>
      <c r="D42" s="28">
        <v>9966.0</v>
      </c>
      <c r="E42" s="28">
        <v>23.0</v>
      </c>
      <c r="F42" s="29">
        <v>0.23078466787076057</v>
      </c>
      <c r="G42" s="28">
        <v>2918.0</v>
      </c>
      <c r="H42" s="28"/>
      <c r="I42" s="29">
        <v>0.0</v>
      </c>
      <c r="J42" s="28">
        <v>12884.0</v>
      </c>
      <c r="K42" s="28">
        <v>23.0</v>
      </c>
      <c r="L42" s="29">
        <v>0.1785159888233468</v>
      </c>
    </row>
    <row r="43" ht="18.0" customHeight="1">
      <c r="B43" s="26">
        <v>36.0</v>
      </c>
      <c r="C43" s="27" t="s">
        <v>104</v>
      </c>
      <c r="D43" s="28">
        <v>10862.0</v>
      </c>
      <c r="E43" s="28">
        <v>34.0</v>
      </c>
      <c r="F43" s="29">
        <v>0.3130178604308599</v>
      </c>
      <c r="G43" s="28">
        <v>5352.0</v>
      </c>
      <c r="H43" s="28">
        <v>117.0</v>
      </c>
      <c r="I43" s="29">
        <v>2.18609865470852</v>
      </c>
      <c r="J43" s="28">
        <v>16214.0</v>
      </c>
      <c r="K43" s="28">
        <v>151.0</v>
      </c>
      <c r="L43" s="29">
        <v>0.9312939435056125</v>
      </c>
    </row>
    <row r="44" ht="18.0" customHeight="1">
      <c r="B44" s="26">
        <v>37.0</v>
      </c>
      <c r="C44" s="27" t="s">
        <v>105</v>
      </c>
      <c r="D44" s="28">
        <v>9944.0</v>
      </c>
      <c r="E44" s="28">
        <v>101.0</v>
      </c>
      <c r="F44" s="29">
        <v>1.0156878519710377</v>
      </c>
      <c r="G44" s="28">
        <v>3899.0</v>
      </c>
      <c r="H44" s="28">
        <v>57.0</v>
      </c>
      <c r="I44" s="29">
        <v>1.4619133111054117</v>
      </c>
      <c r="J44" s="28">
        <v>13843.0</v>
      </c>
      <c r="K44" s="28">
        <v>158.0</v>
      </c>
      <c r="L44" s="29">
        <v>1.1413710900816296</v>
      </c>
    </row>
    <row r="45" ht="18.0" customHeight="1">
      <c r="B45" s="26">
        <v>38.0</v>
      </c>
      <c r="C45" s="27" t="s">
        <v>106</v>
      </c>
      <c r="D45" s="28">
        <v>10660.0</v>
      </c>
      <c r="E45" s="28">
        <v>89.0</v>
      </c>
      <c r="F45" s="29">
        <v>0.8348968105065666</v>
      </c>
      <c r="G45" s="28">
        <v>3600.0</v>
      </c>
      <c r="H45" s="28">
        <v>6.0</v>
      </c>
      <c r="I45" s="29">
        <v>0.16666666666666669</v>
      </c>
      <c r="J45" s="28">
        <v>14260.0</v>
      </c>
      <c r="K45" s="28">
        <v>95.0</v>
      </c>
      <c r="L45" s="29">
        <v>0.6661991584852734</v>
      </c>
    </row>
    <row r="46" ht="18.0" customHeight="1">
      <c r="B46" s="26">
        <v>39.0</v>
      </c>
      <c r="C46" s="27" t="s">
        <v>107</v>
      </c>
      <c r="D46" s="28">
        <v>959.0</v>
      </c>
      <c r="E46" s="28"/>
      <c r="F46" s="29">
        <v>0.0</v>
      </c>
      <c r="G46" s="28">
        <v>98.0</v>
      </c>
      <c r="H46" s="28"/>
      <c r="I46" s="29">
        <v>0.0</v>
      </c>
      <c r="J46" s="28">
        <v>1057.0</v>
      </c>
      <c r="K46" s="28">
        <v>0.0</v>
      </c>
      <c r="L46" s="29">
        <v>0.0</v>
      </c>
    </row>
    <row r="47" ht="18.0" customHeight="1">
      <c r="B47" s="24" t="s">
        <v>108</v>
      </c>
      <c r="C47" s="11"/>
      <c r="D47" s="34">
        <v>3917866.0</v>
      </c>
      <c r="E47" s="34">
        <v>3550.0</v>
      </c>
      <c r="F47" s="35">
        <v>0.09061055176465964</v>
      </c>
      <c r="G47" s="34">
        <v>1393624.0</v>
      </c>
      <c r="H47" s="34">
        <v>3166.0</v>
      </c>
      <c r="I47" s="35">
        <v>0.22717748833257753</v>
      </c>
      <c r="J47" s="34">
        <v>5311490.0</v>
      </c>
      <c r="K47" s="34">
        <v>6716.0</v>
      </c>
      <c r="L47" s="35">
        <v>0.12644286254892695</v>
      </c>
    </row>
    <row r="48" ht="14.25" customHeight="1"/>
    <row r="49" ht="44.25" customHeight="1">
      <c r="B49" s="36" t="s">
        <v>113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6:B7"/>
    <mergeCell ref="C6:C7"/>
    <mergeCell ref="D6:F6"/>
    <mergeCell ref="G6:I6"/>
    <mergeCell ref="J6:L6"/>
    <mergeCell ref="B47:C47"/>
    <mergeCell ref="B49:L4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3.43"/>
    <col customWidth="1" min="3" max="3" width="20.86"/>
    <col customWidth="1" min="4" max="4" width="12.71"/>
    <col customWidth="1" min="5" max="5" width="10.71"/>
    <col customWidth="1" min="6" max="6" width="8.71"/>
    <col customWidth="1" min="7" max="7" width="12.71"/>
    <col customWidth="1" min="8" max="8" width="10.71"/>
    <col customWidth="1" min="9" max="9" width="8.71"/>
    <col customWidth="1" min="10" max="10" width="12.71"/>
    <col customWidth="1" min="11" max="11" width="10.71"/>
    <col customWidth="1" min="12" max="26" width="8.71"/>
  </cols>
  <sheetData>
    <row r="1" ht="14.25" customHeight="1">
      <c r="B1" s="21" t="s">
        <v>59</v>
      </c>
    </row>
    <row r="2" ht="14.25" customHeight="1">
      <c r="B2" s="21" t="s">
        <v>7</v>
      </c>
    </row>
    <row r="3" ht="14.25" customHeight="1">
      <c r="B3" s="21" t="s">
        <v>114</v>
      </c>
    </row>
    <row r="4" ht="14.25" customHeight="1">
      <c r="B4" s="21"/>
    </row>
    <row r="5" ht="14.25" customHeight="1">
      <c r="B5" s="22" t="s">
        <v>61</v>
      </c>
    </row>
    <row r="6" ht="19.5" customHeight="1">
      <c r="B6" s="23" t="s">
        <v>8</v>
      </c>
      <c r="C6" s="23" t="s">
        <v>62</v>
      </c>
      <c r="D6" s="24" t="s">
        <v>63</v>
      </c>
      <c r="E6" s="10"/>
      <c r="F6" s="11"/>
      <c r="G6" s="24" t="s">
        <v>64</v>
      </c>
      <c r="H6" s="10"/>
      <c r="I6" s="11"/>
      <c r="J6" s="24" t="s">
        <v>65</v>
      </c>
      <c r="K6" s="10"/>
      <c r="L6" s="11"/>
    </row>
    <row r="7" ht="19.5" customHeight="1">
      <c r="B7" s="13"/>
      <c r="C7" s="13"/>
      <c r="D7" s="25" t="s">
        <v>66</v>
      </c>
      <c r="E7" s="25" t="s">
        <v>67</v>
      </c>
      <c r="F7" s="25" t="s">
        <v>68</v>
      </c>
      <c r="G7" s="25" t="s">
        <v>66</v>
      </c>
      <c r="H7" s="25" t="s">
        <v>67</v>
      </c>
      <c r="I7" s="25" t="s">
        <v>68</v>
      </c>
      <c r="J7" s="25" t="s">
        <v>66</v>
      </c>
      <c r="K7" s="25" t="s">
        <v>67</v>
      </c>
      <c r="L7" s="25" t="s">
        <v>68</v>
      </c>
    </row>
    <row r="8" ht="18.0" customHeight="1">
      <c r="B8" s="26">
        <v>1.0</v>
      </c>
      <c r="C8" s="27" t="s">
        <v>69</v>
      </c>
      <c r="D8" s="28">
        <v>46341.0</v>
      </c>
      <c r="E8" s="28">
        <v>128.0</v>
      </c>
      <c r="F8" s="29">
        <v>0.27621328844867393</v>
      </c>
      <c r="G8" s="28">
        <v>7759.0</v>
      </c>
      <c r="H8" s="28">
        <v>28.0</v>
      </c>
      <c r="I8" s="29">
        <v>0.3608712462946256</v>
      </c>
      <c r="J8" s="28">
        <v>54100.0</v>
      </c>
      <c r="K8" s="28">
        <v>156.0</v>
      </c>
      <c r="L8" s="29">
        <v>0.2883548983364141</v>
      </c>
    </row>
    <row r="9" ht="18.0" customHeight="1">
      <c r="B9" s="26">
        <v>2.0</v>
      </c>
      <c r="C9" s="27" t="s">
        <v>70</v>
      </c>
      <c r="D9" s="28">
        <v>138169.0</v>
      </c>
      <c r="E9" s="28">
        <v>367.0</v>
      </c>
      <c r="F9" s="29">
        <v>0.265616744711187</v>
      </c>
      <c r="G9" s="28">
        <v>166396.0</v>
      </c>
      <c r="H9" s="28">
        <v>1632.0</v>
      </c>
      <c r="I9" s="29">
        <v>0.9807928075194116</v>
      </c>
      <c r="J9" s="28">
        <v>304565.0</v>
      </c>
      <c r="K9" s="28">
        <v>1999.0</v>
      </c>
      <c r="L9" s="29">
        <v>0.6563459360070921</v>
      </c>
    </row>
    <row r="10" ht="18.0" customHeight="1">
      <c r="B10" s="26">
        <v>3.0</v>
      </c>
      <c r="C10" s="27" t="s">
        <v>71</v>
      </c>
      <c r="D10" s="28">
        <v>75274.0</v>
      </c>
      <c r="E10" s="28">
        <v>86.0</v>
      </c>
      <c r="F10" s="29">
        <v>0.11424927597842548</v>
      </c>
      <c r="G10" s="28">
        <v>13008.0</v>
      </c>
      <c r="H10" s="28">
        <v>132.0</v>
      </c>
      <c r="I10" s="29">
        <v>1.014760147601476</v>
      </c>
      <c r="J10" s="28">
        <v>88282.0</v>
      </c>
      <c r="K10" s="28">
        <v>218.0</v>
      </c>
      <c r="L10" s="29">
        <v>0.2469359552343626</v>
      </c>
    </row>
    <row r="11" ht="18.0" customHeight="1">
      <c r="B11" s="26">
        <v>4.0</v>
      </c>
      <c r="C11" s="27" t="s">
        <v>72</v>
      </c>
      <c r="D11" s="28">
        <v>68528.0</v>
      </c>
      <c r="E11" s="28">
        <v>49.0</v>
      </c>
      <c r="F11" s="29">
        <v>0.07150361895867383</v>
      </c>
      <c r="G11" s="28">
        <v>36797.0</v>
      </c>
      <c r="H11" s="28">
        <v>99.0</v>
      </c>
      <c r="I11" s="29">
        <v>0.2690436720384814</v>
      </c>
      <c r="J11" s="28">
        <v>105325.0</v>
      </c>
      <c r="K11" s="28">
        <v>148.0</v>
      </c>
      <c r="L11" s="29">
        <v>0.14051744600047472</v>
      </c>
    </row>
    <row r="12" ht="18.0" customHeight="1">
      <c r="B12" s="26">
        <v>5.0</v>
      </c>
      <c r="C12" s="27" t="s">
        <v>73</v>
      </c>
      <c r="D12" s="28">
        <v>38401.0</v>
      </c>
      <c r="E12" s="28">
        <v>34.0</v>
      </c>
      <c r="F12" s="29">
        <v>0.08853936095414182</v>
      </c>
      <c r="G12" s="28">
        <v>10828.0</v>
      </c>
      <c r="H12" s="28">
        <v>31.0</v>
      </c>
      <c r="I12" s="29">
        <v>0.2862947912818618</v>
      </c>
      <c r="J12" s="28">
        <v>49229.0</v>
      </c>
      <c r="K12" s="28">
        <v>65.0</v>
      </c>
      <c r="L12" s="29">
        <v>0.13203599504357189</v>
      </c>
    </row>
    <row r="13" ht="18.0" customHeight="1">
      <c r="B13" s="26">
        <v>6.0</v>
      </c>
      <c r="C13" s="27" t="s">
        <v>74</v>
      </c>
      <c r="D13" s="28">
        <v>78601.0</v>
      </c>
      <c r="E13" s="28">
        <v>173.0</v>
      </c>
      <c r="F13" s="29">
        <v>0.2200989809289958</v>
      </c>
      <c r="G13" s="28">
        <v>47324.0</v>
      </c>
      <c r="H13" s="28">
        <v>218.0</v>
      </c>
      <c r="I13" s="29">
        <v>0.4606542135068887</v>
      </c>
      <c r="J13" s="28">
        <v>125925.0</v>
      </c>
      <c r="K13" s="28">
        <v>391.0</v>
      </c>
      <c r="L13" s="29">
        <v>0.31050228310502287</v>
      </c>
    </row>
    <row r="14" ht="18.0" customHeight="1">
      <c r="B14" s="26">
        <v>7.0</v>
      </c>
      <c r="C14" s="27" t="s">
        <v>75</v>
      </c>
      <c r="D14" s="28">
        <v>25124.0</v>
      </c>
      <c r="E14" s="28">
        <v>76.0</v>
      </c>
      <c r="F14" s="29">
        <v>0.30249960197420794</v>
      </c>
      <c r="G14" s="28">
        <v>3418.0</v>
      </c>
      <c r="H14" s="28">
        <v>4.0</v>
      </c>
      <c r="I14" s="29">
        <v>0.11702750146284377</v>
      </c>
      <c r="J14" s="28">
        <v>28542.0</v>
      </c>
      <c r="K14" s="28">
        <v>80.0</v>
      </c>
      <c r="L14" s="29">
        <v>0.28028869735827905</v>
      </c>
    </row>
    <row r="15" ht="18.0" customHeight="1">
      <c r="B15" s="26">
        <v>8.0</v>
      </c>
      <c r="C15" s="27" t="s">
        <v>76</v>
      </c>
      <c r="D15" s="28">
        <v>68999.0</v>
      </c>
      <c r="E15" s="28">
        <v>4.0</v>
      </c>
      <c r="F15" s="29">
        <v>0.005797185466456035</v>
      </c>
      <c r="G15" s="28">
        <v>81737.0</v>
      </c>
      <c r="H15" s="28">
        <v>47.0</v>
      </c>
      <c r="I15" s="29">
        <v>0.057501498709274866</v>
      </c>
      <c r="J15" s="28">
        <v>150736.0</v>
      </c>
      <c r="K15" s="28">
        <v>51.0</v>
      </c>
      <c r="L15" s="29">
        <v>0.03383398789937374</v>
      </c>
    </row>
    <row r="16" ht="18.0" customHeight="1">
      <c r="B16" s="26">
        <v>9.0</v>
      </c>
      <c r="C16" s="27" t="s">
        <v>77</v>
      </c>
      <c r="D16" s="28">
        <v>19397.0</v>
      </c>
      <c r="E16" s="28">
        <v>19.0</v>
      </c>
      <c r="F16" s="29">
        <v>0.09795329174614631</v>
      </c>
      <c r="G16" s="28">
        <v>5239.0</v>
      </c>
      <c r="H16" s="28">
        <v>9.0</v>
      </c>
      <c r="I16" s="29">
        <v>0.1717885092574919</v>
      </c>
      <c r="J16" s="28">
        <v>24636.0</v>
      </c>
      <c r="K16" s="28">
        <v>28.0</v>
      </c>
      <c r="L16" s="29">
        <v>0.11365481409319694</v>
      </c>
    </row>
    <row r="17" ht="18.0" customHeight="1">
      <c r="B17" s="26">
        <v>10.0</v>
      </c>
      <c r="C17" s="27" t="s">
        <v>78</v>
      </c>
      <c r="D17" s="28">
        <v>28493.0</v>
      </c>
      <c r="E17" s="28">
        <v>0.0</v>
      </c>
      <c r="F17" s="29">
        <v>0.0</v>
      </c>
      <c r="G17" s="28">
        <v>9491.0</v>
      </c>
      <c r="H17" s="28">
        <v>20.0</v>
      </c>
      <c r="I17" s="29">
        <v>0.21072595090085344</v>
      </c>
      <c r="J17" s="28">
        <v>37984.0</v>
      </c>
      <c r="K17" s="28">
        <v>20.0</v>
      </c>
      <c r="L17" s="29">
        <v>0.05265374894692502</v>
      </c>
    </row>
    <row r="18" ht="18.0" customHeight="1">
      <c r="B18" s="26">
        <v>11.0</v>
      </c>
      <c r="C18" s="27" t="s">
        <v>79</v>
      </c>
      <c r="D18" s="28">
        <v>57652.0</v>
      </c>
      <c r="E18" s="28">
        <v>0.0</v>
      </c>
      <c r="F18" s="29">
        <v>0.0</v>
      </c>
      <c r="G18" s="28">
        <v>138996.0</v>
      </c>
      <c r="H18" s="28">
        <v>87.0</v>
      </c>
      <c r="I18" s="29">
        <v>0.06259172925839593</v>
      </c>
      <c r="J18" s="28">
        <v>196648.0</v>
      </c>
      <c r="K18" s="28">
        <v>87.0</v>
      </c>
      <c r="L18" s="29">
        <v>0.044241487327610754</v>
      </c>
    </row>
    <row r="19" ht="18.0" customHeight="1">
      <c r="B19" s="30">
        <v>12.0</v>
      </c>
      <c r="C19" s="31" t="s">
        <v>80</v>
      </c>
      <c r="D19" s="32">
        <v>343384.0</v>
      </c>
      <c r="E19" s="32">
        <v>28.0</v>
      </c>
      <c r="F19" s="33">
        <v>0.008154136476947092</v>
      </c>
      <c r="G19" s="32">
        <v>725091.0</v>
      </c>
      <c r="H19" s="32">
        <v>757.0</v>
      </c>
      <c r="I19" s="33">
        <v>0.10440068901696477</v>
      </c>
      <c r="J19" s="32">
        <v>1068475.0</v>
      </c>
      <c r="K19" s="32">
        <v>785.0</v>
      </c>
      <c r="L19" s="33">
        <v>0.07346919675238073</v>
      </c>
    </row>
    <row r="20" ht="18.0" customHeight="1">
      <c r="B20" s="26">
        <v>13.0</v>
      </c>
      <c r="C20" s="27" t="s">
        <v>81</v>
      </c>
      <c r="D20" s="28">
        <v>300562.0</v>
      </c>
      <c r="E20" s="28">
        <v>95.0</v>
      </c>
      <c r="F20" s="29">
        <v>0.03160745536694592</v>
      </c>
      <c r="G20" s="28">
        <v>503857.0</v>
      </c>
      <c r="H20" s="28">
        <v>621.0</v>
      </c>
      <c r="I20" s="29">
        <v>0.12324925524503977</v>
      </c>
      <c r="J20" s="28">
        <v>804419.0</v>
      </c>
      <c r="K20" s="28">
        <v>716.0</v>
      </c>
      <c r="L20" s="29">
        <v>0.08900834018092561</v>
      </c>
    </row>
    <row r="21" ht="18.0" customHeight="1">
      <c r="B21" s="26">
        <v>14.0</v>
      </c>
      <c r="C21" s="27" t="s">
        <v>82</v>
      </c>
      <c r="D21" s="28">
        <v>51489.0</v>
      </c>
      <c r="E21" s="28">
        <v>0.0</v>
      </c>
      <c r="F21" s="29">
        <v>0.0</v>
      </c>
      <c r="G21" s="28">
        <v>37353.0</v>
      </c>
      <c r="H21" s="28">
        <v>9.0</v>
      </c>
      <c r="I21" s="29">
        <v>0.024094450244960246</v>
      </c>
      <c r="J21" s="28">
        <v>88842.0</v>
      </c>
      <c r="K21" s="28">
        <v>9.0</v>
      </c>
      <c r="L21" s="29">
        <v>0.010130343756331464</v>
      </c>
    </row>
    <row r="22" ht="18.0" customHeight="1">
      <c r="B22" s="26">
        <v>15.0</v>
      </c>
      <c r="C22" s="27" t="s">
        <v>83</v>
      </c>
      <c r="D22" s="28">
        <v>346931.0</v>
      </c>
      <c r="E22" s="28">
        <v>261.0</v>
      </c>
      <c r="F22" s="29">
        <v>0.07523109782636893</v>
      </c>
      <c r="G22" s="28">
        <v>427637.0</v>
      </c>
      <c r="H22" s="28">
        <v>1002.0</v>
      </c>
      <c r="I22" s="29">
        <v>0.23431087581289736</v>
      </c>
      <c r="J22" s="28">
        <v>774568.0</v>
      </c>
      <c r="K22" s="28">
        <v>1263.0</v>
      </c>
      <c r="L22" s="29">
        <v>0.16305863397403456</v>
      </c>
    </row>
    <row r="23" ht="18.0" customHeight="1">
      <c r="B23" s="26">
        <v>16.0</v>
      </c>
      <c r="C23" s="27" t="s">
        <v>84</v>
      </c>
      <c r="D23" s="28">
        <v>91430.0</v>
      </c>
      <c r="E23" s="28">
        <v>44.0</v>
      </c>
      <c r="F23" s="29">
        <v>0.048124248058624086</v>
      </c>
      <c r="G23" s="28">
        <v>159985.0</v>
      </c>
      <c r="H23" s="28">
        <v>193.0</v>
      </c>
      <c r="I23" s="29">
        <v>0.12063630965403008</v>
      </c>
      <c r="J23" s="28">
        <v>251415.0</v>
      </c>
      <c r="K23" s="28">
        <v>237.0</v>
      </c>
      <c r="L23" s="29">
        <v>0.09426645188234592</v>
      </c>
    </row>
    <row r="24" ht="18.0" customHeight="1">
      <c r="B24" s="26">
        <v>17.0</v>
      </c>
      <c r="C24" s="27" t="s">
        <v>85</v>
      </c>
      <c r="D24" s="28">
        <v>54131.0</v>
      </c>
      <c r="E24" s="28">
        <v>11.0</v>
      </c>
      <c r="F24" s="29">
        <v>0.0203210729526519</v>
      </c>
      <c r="G24" s="28">
        <v>34998.0</v>
      </c>
      <c r="H24" s="28">
        <v>5.0</v>
      </c>
      <c r="I24" s="29">
        <v>0.014286530658894793</v>
      </c>
      <c r="J24" s="28">
        <v>89129.0</v>
      </c>
      <c r="K24" s="28">
        <v>16.0</v>
      </c>
      <c r="L24" s="29">
        <v>0.017951508487697606</v>
      </c>
    </row>
    <row r="25" ht="18.0" customHeight="1">
      <c r="B25" s="26">
        <v>18.0</v>
      </c>
      <c r="C25" s="27" t="s">
        <v>86</v>
      </c>
      <c r="D25" s="28">
        <v>54577.0</v>
      </c>
      <c r="E25" s="28">
        <v>119.0</v>
      </c>
      <c r="F25" s="29">
        <v>0.21804056653901824</v>
      </c>
      <c r="G25" s="28">
        <v>23135.0</v>
      </c>
      <c r="H25" s="28">
        <v>291.0</v>
      </c>
      <c r="I25" s="29">
        <v>1.2578344499675815</v>
      </c>
      <c r="J25" s="28">
        <v>77712.0</v>
      </c>
      <c r="K25" s="28">
        <v>410.0</v>
      </c>
      <c r="L25" s="29">
        <v>0.5275890467366687</v>
      </c>
    </row>
    <row r="26" ht="18.0" customHeight="1">
      <c r="B26" s="26">
        <v>19.0</v>
      </c>
      <c r="C26" s="27" t="s">
        <v>87</v>
      </c>
      <c r="D26" s="28">
        <v>60670.0</v>
      </c>
      <c r="E26" s="28">
        <v>248.0</v>
      </c>
      <c r="F26" s="29">
        <v>0.40876874896983684</v>
      </c>
      <c r="G26" s="28">
        <v>43204.0</v>
      </c>
      <c r="H26" s="28">
        <v>429.0</v>
      </c>
      <c r="I26" s="29">
        <v>0.9929636144801407</v>
      </c>
      <c r="J26" s="28">
        <v>103874.0</v>
      </c>
      <c r="K26" s="28">
        <v>677.0</v>
      </c>
      <c r="L26" s="29">
        <v>0.6517511600593026</v>
      </c>
    </row>
    <row r="27" ht="18.0" customHeight="1">
      <c r="B27" s="26">
        <v>20.0</v>
      </c>
      <c r="C27" s="27" t="s">
        <v>88</v>
      </c>
      <c r="D27" s="28">
        <v>56973.0</v>
      </c>
      <c r="E27" s="28">
        <v>156.0</v>
      </c>
      <c r="F27" s="29">
        <v>0.273813911852983</v>
      </c>
      <c r="G27" s="28">
        <v>18768.0</v>
      </c>
      <c r="H27" s="28">
        <v>96.0</v>
      </c>
      <c r="I27" s="29">
        <v>0.5115089514066496</v>
      </c>
      <c r="J27" s="28">
        <v>75741.0</v>
      </c>
      <c r="K27" s="28">
        <v>252.0</v>
      </c>
      <c r="L27" s="29">
        <v>0.33271279756010613</v>
      </c>
    </row>
    <row r="28" ht="18.0" customHeight="1">
      <c r="B28" s="26">
        <v>21.0</v>
      </c>
      <c r="C28" s="27" t="s">
        <v>89</v>
      </c>
      <c r="D28" s="28">
        <v>27041.0</v>
      </c>
      <c r="E28" s="28">
        <v>32.0</v>
      </c>
      <c r="F28" s="29">
        <v>0.11833881883066455</v>
      </c>
      <c r="G28" s="28">
        <v>6125.0</v>
      </c>
      <c r="H28" s="28">
        <v>2.0</v>
      </c>
      <c r="I28" s="29">
        <v>0.0326530612244898</v>
      </c>
      <c r="J28" s="28">
        <v>33166.0</v>
      </c>
      <c r="K28" s="28">
        <v>34.0</v>
      </c>
      <c r="L28" s="29">
        <v>0.10251462340951578</v>
      </c>
    </row>
    <row r="29" ht="18.0" customHeight="1">
      <c r="B29" s="26">
        <v>22.0</v>
      </c>
      <c r="C29" s="27" t="s">
        <v>90</v>
      </c>
      <c r="D29" s="28">
        <v>42920.0</v>
      </c>
      <c r="E29" s="28">
        <v>21.0</v>
      </c>
      <c r="F29" s="29">
        <v>0.04892823858341099</v>
      </c>
      <c r="G29" s="28">
        <v>12518.0</v>
      </c>
      <c r="H29" s="28">
        <v>14.0</v>
      </c>
      <c r="I29" s="29">
        <v>0.11183895190925068</v>
      </c>
      <c r="J29" s="28">
        <v>55438.0</v>
      </c>
      <c r="K29" s="28">
        <v>35.0</v>
      </c>
      <c r="L29" s="29">
        <v>0.06313359067787438</v>
      </c>
    </row>
    <row r="30" ht="18.0" customHeight="1">
      <c r="B30" s="26">
        <v>23.0</v>
      </c>
      <c r="C30" s="27" t="s">
        <v>91</v>
      </c>
      <c r="D30" s="28">
        <v>54574.0</v>
      </c>
      <c r="E30" s="28">
        <v>28.0</v>
      </c>
      <c r="F30" s="29">
        <v>0.05130648294059442</v>
      </c>
      <c r="G30" s="28">
        <v>28536.0</v>
      </c>
      <c r="H30" s="28">
        <v>27.0</v>
      </c>
      <c r="I30" s="29">
        <v>0.09461732548359966</v>
      </c>
      <c r="J30" s="28">
        <v>83110.0</v>
      </c>
      <c r="K30" s="28">
        <v>55.0</v>
      </c>
      <c r="L30" s="29">
        <v>0.0661773553122368</v>
      </c>
    </row>
    <row r="31" ht="18.0" customHeight="1">
      <c r="B31" s="26">
        <v>24.0</v>
      </c>
      <c r="C31" s="27" t="s">
        <v>92</v>
      </c>
      <c r="D31" s="28">
        <v>9519.0</v>
      </c>
      <c r="E31" s="28">
        <v>14.0</v>
      </c>
      <c r="F31" s="29">
        <v>0.14707427250761634</v>
      </c>
      <c r="G31" s="28">
        <v>938.0</v>
      </c>
      <c r="H31" s="28">
        <v>3.0</v>
      </c>
      <c r="I31" s="29">
        <v>0.31982942430703626</v>
      </c>
      <c r="J31" s="28">
        <v>10457.0</v>
      </c>
      <c r="K31" s="28">
        <v>17.0</v>
      </c>
      <c r="L31" s="29">
        <v>0.16257052691976667</v>
      </c>
    </row>
    <row r="32" ht="18.0" customHeight="1">
      <c r="B32" s="26">
        <v>25.0</v>
      </c>
      <c r="C32" s="27" t="s">
        <v>93</v>
      </c>
      <c r="D32" s="28">
        <v>33142.0</v>
      </c>
      <c r="E32" s="28">
        <v>20.0</v>
      </c>
      <c r="F32" s="29">
        <v>0.06034638826866212</v>
      </c>
      <c r="G32" s="28">
        <v>12624.0</v>
      </c>
      <c r="H32" s="28">
        <v>83.0</v>
      </c>
      <c r="I32" s="29">
        <v>0.6574778200253486</v>
      </c>
      <c r="J32" s="28">
        <v>45766.0</v>
      </c>
      <c r="K32" s="28">
        <v>103.0</v>
      </c>
      <c r="L32" s="29">
        <v>0.22505790324695188</v>
      </c>
    </row>
    <row r="33" ht="18.0" customHeight="1">
      <c r="B33" s="26">
        <v>26.0</v>
      </c>
      <c r="C33" s="27" t="s">
        <v>94</v>
      </c>
      <c r="D33" s="28">
        <v>32054.0</v>
      </c>
      <c r="E33" s="28">
        <v>65.0</v>
      </c>
      <c r="F33" s="29">
        <v>0.20278280401821924</v>
      </c>
      <c r="G33" s="28">
        <v>9889.0</v>
      </c>
      <c r="H33" s="28">
        <v>52.0</v>
      </c>
      <c r="I33" s="29">
        <v>0.5258367883506927</v>
      </c>
      <c r="J33" s="28">
        <v>41943.0</v>
      </c>
      <c r="K33" s="28">
        <v>117.0</v>
      </c>
      <c r="L33" s="29">
        <v>0.2789500035762821</v>
      </c>
    </row>
    <row r="34" ht="18.0" customHeight="1">
      <c r="B34" s="26">
        <v>27.0</v>
      </c>
      <c r="C34" s="27" t="s">
        <v>95</v>
      </c>
      <c r="D34" s="28">
        <v>87122.0</v>
      </c>
      <c r="E34" s="28">
        <v>207.0</v>
      </c>
      <c r="F34" s="29">
        <v>0.23759785128899705</v>
      </c>
      <c r="G34" s="28">
        <v>33178.0</v>
      </c>
      <c r="H34" s="28">
        <v>338.0</v>
      </c>
      <c r="I34" s="29">
        <v>1.0187473627102297</v>
      </c>
      <c r="J34" s="28">
        <v>120300.0</v>
      </c>
      <c r="K34" s="28">
        <v>545.0</v>
      </c>
      <c r="L34" s="29">
        <v>0.45303408146300916</v>
      </c>
    </row>
    <row r="35" ht="18.0" customHeight="1">
      <c r="B35" s="26">
        <v>28.0</v>
      </c>
      <c r="C35" s="27" t="s">
        <v>96</v>
      </c>
      <c r="D35" s="28">
        <v>29223.0</v>
      </c>
      <c r="E35" s="28">
        <v>75.0</v>
      </c>
      <c r="F35" s="29">
        <v>0.25664716148239397</v>
      </c>
      <c r="G35" s="28">
        <v>5513.0</v>
      </c>
      <c r="H35" s="28">
        <v>58.0</v>
      </c>
      <c r="I35" s="29">
        <v>1.0520587701795754</v>
      </c>
      <c r="J35" s="28">
        <v>34736.0</v>
      </c>
      <c r="K35" s="28">
        <v>133.0</v>
      </c>
      <c r="L35" s="29">
        <v>0.3828880700138185</v>
      </c>
    </row>
    <row r="36" ht="18.0" customHeight="1">
      <c r="B36" s="26">
        <v>29.0</v>
      </c>
      <c r="C36" s="27" t="s">
        <v>97</v>
      </c>
      <c r="D36" s="28">
        <v>14455.0</v>
      </c>
      <c r="E36" s="28">
        <v>137.0</v>
      </c>
      <c r="F36" s="29">
        <v>0.947768938083708</v>
      </c>
      <c r="G36" s="28">
        <v>2352.0</v>
      </c>
      <c r="H36" s="28">
        <v>10.0</v>
      </c>
      <c r="I36" s="29">
        <v>0.4251700680272109</v>
      </c>
      <c r="J36" s="28">
        <v>16807.0</v>
      </c>
      <c r="K36" s="28">
        <v>147.0</v>
      </c>
      <c r="L36" s="29">
        <v>0.8746355685131195</v>
      </c>
    </row>
    <row r="37" ht="18.0" customHeight="1">
      <c r="B37" s="26">
        <v>30.0</v>
      </c>
      <c r="C37" s="27" t="s">
        <v>98</v>
      </c>
      <c r="D37" s="28">
        <v>18604.0</v>
      </c>
      <c r="E37" s="28">
        <v>79.0</v>
      </c>
      <c r="F37" s="29">
        <v>0.4246398623951838</v>
      </c>
      <c r="G37" s="28">
        <v>6469.0</v>
      </c>
      <c r="H37" s="28">
        <v>61.0</v>
      </c>
      <c r="I37" s="29">
        <v>0.9429587262328025</v>
      </c>
      <c r="J37" s="28">
        <v>25073.0</v>
      </c>
      <c r="K37" s="28">
        <v>140.0</v>
      </c>
      <c r="L37" s="29">
        <v>0.5583695608822239</v>
      </c>
    </row>
    <row r="38" ht="18.0" customHeight="1">
      <c r="B38" s="26">
        <v>31.0</v>
      </c>
      <c r="C38" s="27" t="s">
        <v>99</v>
      </c>
      <c r="D38" s="28">
        <v>15750.0</v>
      </c>
      <c r="E38" s="28">
        <v>34.0</v>
      </c>
      <c r="F38" s="29">
        <v>0.21587301587301586</v>
      </c>
      <c r="G38" s="28">
        <v>6062.0</v>
      </c>
      <c r="H38" s="28">
        <v>15.0</v>
      </c>
      <c r="I38" s="29">
        <v>0.2474430880897394</v>
      </c>
      <c r="J38" s="28">
        <v>21812.0</v>
      </c>
      <c r="K38" s="28">
        <v>49.0</v>
      </c>
      <c r="L38" s="29">
        <v>0.2246469833119384</v>
      </c>
    </row>
    <row r="39" ht="18.0" customHeight="1">
      <c r="B39" s="26">
        <v>32.0</v>
      </c>
      <c r="C39" s="27" t="s">
        <v>100</v>
      </c>
      <c r="D39" s="28">
        <v>9677.0</v>
      </c>
      <c r="E39" s="28">
        <v>51.0</v>
      </c>
      <c r="F39" s="29">
        <v>0.5270228376562984</v>
      </c>
      <c r="G39" s="28">
        <v>9474.0</v>
      </c>
      <c r="H39" s="28">
        <v>54.0</v>
      </c>
      <c r="I39" s="29">
        <v>0.5699810006333123</v>
      </c>
      <c r="J39" s="28">
        <v>19151.0</v>
      </c>
      <c r="K39" s="28">
        <v>105.0</v>
      </c>
      <c r="L39" s="29">
        <v>0.5482742415539659</v>
      </c>
    </row>
    <row r="40" ht="18.0" customHeight="1">
      <c r="B40" s="26">
        <v>33.0</v>
      </c>
      <c r="C40" s="27" t="s">
        <v>101</v>
      </c>
      <c r="D40" s="28">
        <v>9433.0</v>
      </c>
      <c r="E40" s="28">
        <v>44.0</v>
      </c>
      <c r="F40" s="29">
        <v>0.4664475776529206</v>
      </c>
      <c r="G40" s="28">
        <v>3930.0</v>
      </c>
      <c r="H40" s="28">
        <v>13.0</v>
      </c>
      <c r="I40" s="29">
        <v>0.33078880407124683</v>
      </c>
      <c r="J40" s="28">
        <v>13363.0</v>
      </c>
      <c r="K40" s="28">
        <v>57.0</v>
      </c>
      <c r="L40" s="29">
        <v>0.4265509241936691</v>
      </c>
    </row>
    <row r="41" ht="18.0" customHeight="1">
      <c r="B41" s="26">
        <v>34.0</v>
      </c>
      <c r="C41" s="27" t="s">
        <v>102</v>
      </c>
      <c r="D41" s="28">
        <v>5287.0</v>
      </c>
      <c r="E41" s="28">
        <v>24.0</v>
      </c>
      <c r="F41" s="29">
        <v>0.4539436353319463</v>
      </c>
      <c r="G41" s="28">
        <v>1449.0</v>
      </c>
      <c r="H41" s="28">
        <v>1.0</v>
      </c>
      <c r="I41" s="29">
        <v>0.06901311249137336</v>
      </c>
      <c r="J41" s="28">
        <v>6736.0</v>
      </c>
      <c r="K41" s="28">
        <v>25.0</v>
      </c>
      <c r="L41" s="29">
        <v>0.3711401425178147</v>
      </c>
    </row>
    <row r="42" ht="18.0" customHeight="1">
      <c r="B42" s="26">
        <v>35.0</v>
      </c>
      <c r="C42" s="27" t="s">
        <v>103</v>
      </c>
      <c r="D42" s="28">
        <v>6300.0</v>
      </c>
      <c r="E42" s="28">
        <v>14.0</v>
      </c>
      <c r="F42" s="29">
        <v>0.2222222222222222</v>
      </c>
      <c r="G42" s="28">
        <v>707.0</v>
      </c>
      <c r="H42" s="28">
        <v>46.0</v>
      </c>
      <c r="I42" s="29">
        <v>6.506364922206506</v>
      </c>
      <c r="J42" s="28">
        <v>7007.0</v>
      </c>
      <c r="K42" s="28">
        <v>60.0</v>
      </c>
      <c r="L42" s="29">
        <v>0.856286570572285</v>
      </c>
    </row>
    <row r="43" ht="18.0" customHeight="1">
      <c r="B43" s="26">
        <v>36.0</v>
      </c>
      <c r="C43" s="27" t="s">
        <v>104</v>
      </c>
      <c r="D43" s="28">
        <v>5253.0</v>
      </c>
      <c r="E43" s="28">
        <v>72.0</v>
      </c>
      <c r="F43" s="29">
        <v>1.3706453455168475</v>
      </c>
      <c r="G43" s="28">
        <v>5928.0</v>
      </c>
      <c r="H43" s="28">
        <v>44.0</v>
      </c>
      <c r="I43" s="29">
        <v>0.7422402159244265</v>
      </c>
      <c r="J43" s="28">
        <v>11181.0</v>
      </c>
      <c r="K43" s="28">
        <v>116.0</v>
      </c>
      <c r="L43" s="29">
        <v>1.037474286736428</v>
      </c>
    </row>
    <row r="44" ht="18.0" customHeight="1">
      <c r="B44" s="26">
        <v>37.0</v>
      </c>
      <c r="C44" s="27" t="s">
        <v>105</v>
      </c>
      <c r="D44" s="28">
        <v>1726.0</v>
      </c>
      <c r="E44" s="28">
        <v>25.0</v>
      </c>
      <c r="F44" s="29">
        <v>1.4484356894553883</v>
      </c>
      <c r="G44" s="28">
        <v>2699.0</v>
      </c>
      <c r="H44" s="28">
        <v>8.0</v>
      </c>
      <c r="I44" s="29">
        <v>0.29640607632456467</v>
      </c>
      <c r="J44" s="28">
        <v>4425.0</v>
      </c>
      <c r="K44" s="28">
        <v>33.0</v>
      </c>
      <c r="L44" s="29">
        <v>0.7457627118644068</v>
      </c>
    </row>
    <row r="45" ht="18.0" customHeight="1">
      <c r="B45" s="26">
        <v>38.0</v>
      </c>
      <c r="C45" s="27" t="s">
        <v>106</v>
      </c>
      <c r="D45" s="28">
        <v>5570.0</v>
      </c>
      <c r="E45" s="28">
        <v>3.0</v>
      </c>
      <c r="F45" s="29">
        <v>0.05385996409335727</v>
      </c>
      <c r="G45" s="28">
        <v>3415.0</v>
      </c>
      <c r="H45" s="28">
        <v>9.0</v>
      </c>
      <c r="I45" s="29">
        <v>0.2635431918008785</v>
      </c>
      <c r="J45" s="28">
        <v>8985.0</v>
      </c>
      <c r="K45" s="28">
        <v>12.0</v>
      </c>
      <c r="L45" s="29">
        <v>0.1335559265442404</v>
      </c>
    </row>
    <row r="46" ht="18.0" customHeight="1">
      <c r="B46" s="26">
        <v>39.0</v>
      </c>
      <c r="C46" s="27" t="s">
        <v>107</v>
      </c>
      <c r="D46" s="28">
        <v>197.0</v>
      </c>
      <c r="E46" s="28">
        <v>0.0</v>
      </c>
      <c r="F46" s="29">
        <v>0.0</v>
      </c>
      <c r="G46" s="28">
        <v>0.0</v>
      </c>
      <c r="H46" s="28">
        <v>0.0</v>
      </c>
      <c r="I46" s="29" t="e">
        <v>#DIV/0!</v>
      </c>
      <c r="J46" s="28">
        <v>197.0</v>
      </c>
      <c r="K46" s="28">
        <v>0.0</v>
      </c>
      <c r="L46" s="29">
        <v>0.0</v>
      </c>
    </row>
    <row r="47" ht="18.0" customHeight="1">
      <c r="B47" s="24" t="s">
        <v>108</v>
      </c>
      <c r="C47" s="11"/>
      <c r="D47" s="34">
        <v>2412973.0</v>
      </c>
      <c r="E47" s="34">
        <v>2843.0</v>
      </c>
      <c r="F47" s="35">
        <v>0.11782145925379191</v>
      </c>
      <c r="G47" s="34">
        <v>2646827.0</v>
      </c>
      <c r="H47" s="34">
        <v>6548.0</v>
      </c>
      <c r="I47" s="35">
        <v>0.24739055480392183</v>
      </c>
      <c r="J47" s="34">
        <v>5059800.0</v>
      </c>
      <c r="K47" s="34">
        <v>9391.0</v>
      </c>
      <c r="L47" s="35">
        <v>0.18560022135262264</v>
      </c>
    </row>
    <row r="48" ht="14.25" customHeight="1"/>
    <row r="49" ht="44.25" customHeight="1">
      <c r="B49" s="36" t="s">
        <v>115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6:B7"/>
    <mergeCell ref="C6:C7"/>
    <mergeCell ref="D6:F6"/>
    <mergeCell ref="G6:I6"/>
    <mergeCell ref="J6:L6"/>
    <mergeCell ref="B47:C47"/>
    <mergeCell ref="B49:L4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3.43"/>
    <col customWidth="1" min="3" max="3" width="20.86"/>
    <col customWidth="1" min="4" max="4" width="12.71"/>
    <col customWidth="1" min="5" max="5" width="10.71"/>
    <col customWidth="1" min="6" max="6" width="8.71"/>
    <col customWidth="1" min="7" max="7" width="12.71"/>
    <col customWidth="1" min="8" max="8" width="10.71"/>
    <col customWidth="1" min="9" max="9" width="8.71"/>
    <col customWidth="1" min="10" max="10" width="12.71"/>
    <col customWidth="1" min="11" max="11" width="10.71"/>
    <col customWidth="1" min="12" max="26" width="8.71"/>
  </cols>
  <sheetData>
    <row r="1" ht="14.25" customHeight="1">
      <c r="B1" s="21" t="s">
        <v>59</v>
      </c>
    </row>
    <row r="2" ht="14.25" customHeight="1">
      <c r="B2" s="21" t="s">
        <v>7</v>
      </c>
    </row>
    <row r="3" ht="14.25" customHeight="1">
      <c r="B3" s="21" t="s">
        <v>116</v>
      </c>
    </row>
    <row r="4" ht="14.25" customHeight="1">
      <c r="B4" s="21"/>
    </row>
    <row r="5" ht="14.25" customHeight="1">
      <c r="B5" s="22" t="s">
        <v>61</v>
      </c>
    </row>
    <row r="6" ht="19.5" customHeight="1">
      <c r="B6" s="23" t="s">
        <v>8</v>
      </c>
      <c r="C6" s="23" t="s">
        <v>62</v>
      </c>
      <c r="D6" s="24" t="s">
        <v>63</v>
      </c>
      <c r="E6" s="10"/>
      <c r="F6" s="11"/>
      <c r="G6" s="24" t="s">
        <v>64</v>
      </c>
      <c r="H6" s="10"/>
      <c r="I6" s="11"/>
      <c r="J6" s="24" t="s">
        <v>65</v>
      </c>
      <c r="K6" s="10"/>
      <c r="L6" s="11"/>
    </row>
    <row r="7" ht="19.5" customHeight="1">
      <c r="B7" s="13"/>
      <c r="C7" s="13"/>
      <c r="D7" s="25" t="s">
        <v>66</v>
      </c>
      <c r="E7" s="25" t="s">
        <v>67</v>
      </c>
      <c r="F7" s="25" t="s">
        <v>68</v>
      </c>
      <c r="G7" s="25" t="s">
        <v>66</v>
      </c>
      <c r="H7" s="25" t="s">
        <v>67</v>
      </c>
      <c r="I7" s="25" t="s">
        <v>68</v>
      </c>
      <c r="J7" s="25" t="s">
        <v>66</v>
      </c>
      <c r="K7" s="25" t="s">
        <v>67</v>
      </c>
      <c r="L7" s="25" t="s">
        <v>68</v>
      </c>
    </row>
    <row r="8" ht="18.0" customHeight="1">
      <c r="B8" s="26">
        <v>1.0</v>
      </c>
      <c r="C8" s="27" t="s">
        <v>69</v>
      </c>
      <c r="D8" s="28">
        <v>2846.0</v>
      </c>
      <c r="E8" s="28">
        <v>27.0</v>
      </c>
      <c r="F8" s="29">
        <v>0.9486999297259312</v>
      </c>
      <c r="G8" s="28">
        <v>1962.0</v>
      </c>
      <c r="H8" s="28">
        <v>12.0</v>
      </c>
      <c r="I8" s="29">
        <v>0.6116207951070336</v>
      </c>
      <c r="J8" s="28">
        <v>4808.0</v>
      </c>
      <c r="K8" s="28">
        <v>39.0</v>
      </c>
      <c r="L8" s="29">
        <v>0.8111480865224625</v>
      </c>
    </row>
    <row r="9" ht="18.0" customHeight="1">
      <c r="B9" s="26">
        <v>2.0</v>
      </c>
      <c r="C9" s="27" t="s">
        <v>70</v>
      </c>
      <c r="D9" s="28">
        <v>3136.0</v>
      </c>
      <c r="E9" s="28">
        <v>37.0</v>
      </c>
      <c r="F9" s="29">
        <v>1.1798469387755102</v>
      </c>
      <c r="G9" s="28">
        <v>2601.0</v>
      </c>
      <c r="H9" s="28">
        <v>25.0</v>
      </c>
      <c r="I9" s="29">
        <v>0.9611687812379853</v>
      </c>
      <c r="J9" s="28">
        <v>5737.0</v>
      </c>
      <c r="K9" s="28">
        <v>62.0</v>
      </c>
      <c r="L9" s="29">
        <v>1.0807042008018126</v>
      </c>
    </row>
    <row r="10" ht="18.0" customHeight="1">
      <c r="B10" s="26">
        <v>3.0</v>
      </c>
      <c r="C10" s="27" t="s">
        <v>71</v>
      </c>
      <c r="D10" s="28">
        <v>2205.0</v>
      </c>
      <c r="E10" s="28">
        <v>11.0</v>
      </c>
      <c r="F10" s="29">
        <v>0.4988662131519274</v>
      </c>
      <c r="G10" s="28">
        <v>5111.0</v>
      </c>
      <c r="H10" s="28">
        <v>48.0</v>
      </c>
      <c r="I10" s="29">
        <v>0.9391508511054587</v>
      </c>
      <c r="J10" s="28">
        <v>7316.0</v>
      </c>
      <c r="K10" s="28">
        <v>59.0</v>
      </c>
      <c r="L10" s="29">
        <v>0.8064516129032258</v>
      </c>
    </row>
    <row r="11" ht="18.0" customHeight="1">
      <c r="B11" s="26">
        <v>4.0</v>
      </c>
      <c r="C11" s="27" t="s">
        <v>72</v>
      </c>
      <c r="D11" s="28">
        <v>1934.0</v>
      </c>
      <c r="E11" s="28">
        <v>24.0</v>
      </c>
      <c r="F11" s="29">
        <v>1.2409513960703205</v>
      </c>
      <c r="G11" s="28">
        <v>1782.0</v>
      </c>
      <c r="H11" s="28">
        <v>5.0</v>
      </c>
      <c r="I11" s="29">
        <v>0.28058361391694725</v>
      </c>
      <c r="J11" s="28">
        <v>3716.0</v>
      </c>
      <c r="K11" s="28">
        <v>29.0</v>
      </c>
      <c r="L11" s="29">
        <v>0.7804090419806243</v>
      </c>
    </row>
    <row r="12" ht="18.0" customHeight="1">
      <c r="B12" s="26">
        <v>5.0</v>
      </c>
      <c r="C12" s="27" t="s">
        <v>73</v>
      </c>
      <c r="D12" s="28">
        <v>2011.0</v>
      </c>
      <c r="E12" s="28">
        <v>6.0</v>
      </c>
      <c r="F12" s="29">
        <v>0.29835902536051717</v>
      </c>
      <c r="G12" s="28">
        <v>361.0</v>
      </c>
      <c r="H12" s="28">
        <v>5.0</v>
      </c>
      <c r="I12" s="29">
        <v>1.3850415512465373</v>
      </c>
      <c r="J12" s="28">
        <v>2372.0</v>
      </c>
      <c r="K12" s="28">
        <v>11.0</v>
      </c>
      <c r="L12" s="29">
        <v>0.463743676222597</v>
      </c>
    </row>
    <row r="13" ht="18.0" customHeight="1">
      <c r="B13" s="26">
        <v>6.0</v>
      </c>
      <c r="C13" s="27" t="s">
        <v>74</v>
      </c>
      <c r="D13" s="28">
        <v>1843.0</v>
      </c>
      <c r="E13" s="28">
        <v>2.0</v>
      </c>
      <c r="F13" s="29">
        <v>0.10851871947911015</v>
      </c>
      <c r="G13" s="28">
        <v>1220.0</v>
      </c>
      <c r="H13" s="28">
        <v>0.0</v>
      </c>
      <c r="I13" s="29">
        <v>0.0</v>
      </c>
      <c r="J13" s="28">
        <v>3063.0</v>
      </c>
      <c r="K13" s="28">
        <v>2.0</v>
      </c>
      <c r="L13" s="29">
        <v>0.0652954619653934</v>
      </c>
    </row>
    <row r="14" ht="18.0" customHeight="1">
      <c r="B14" s="26">
        <v>7.0</v>
      </c>
      <c r="C14" s="27" t="s">
        <v>75</v>
      </c>
      <c r="D14" s="28">
        <v>1235.0</v>
      </c>
      <c r="E14" s="28">
        <v>2.0</v>
      </c>
      <c r="F14" s="29">
        <v>0.16194331983805668</v>
      </c>
      <c r="G14" s="28">
        <v>212.0</v>
      </c>
      <c r="H14" s="28">
        <v>19.0</v>
      </c>
      <c r="I14" s="29">
        <v>8.962264150943396</v>
      </c>
      <c r="J14" s="28">
        <v>1447.0</v>
      </c>
      <c r="K14" s="28">
        <v>21.0</v>
      </c>
      <c r="L14" s="29">
        <v>1.4512785072563925</v>
      </c>
    </row>
    <row r="15" ht="18.0" customHeight="1">
      <c r="B15" s="26">
        <v>8.0</v>
      </c>
      <c r="C15" s="27" t="s">
        <v>76</v>
      </c>
      <c r="D15" s="28">
        <v>1364.0</v>
      </c>
      <c r="E15" s="28">
        <v>3.0</v>
      </c>
      <c r="F15" s="29">
        <v>0.21994134897360706</v>
      </c>
      <c r="G15" s="28">
        <v>823.0</v>
      </c>
      <c r="H15" s="28">
        <v>2.0</v>
      </c>
      <c r="I15" s="29">
        <v>0.24301336573511542</v>
      </c>
      <c r="J15" s="28">
        <v>2187.0</v>
      </c>
      <c r="K15" s="28">
        <v>5.0</v>
      </c>
      <c r="L15" s="29">
        <v>0.2286236854138089</v>
      </c>
    </row>
    <row r="16" ht="18.0" customHeight="1">
      <c r="B16" s="26">
        <v>9.0</v>
      </c>
      <c r="C16" s="27" t="s">
        <v>77</v>
      </c>
      <c r="D16" s="28">
        <v>1098.0</v>
      </c>
      <c r="E16" s="28">
        <v>0.0</v>
      </c>
      <c r="F16" s="29">
        <v>0.0</v>
      </c>
      <c r="G16" s="28">
        <v>219.0</v>
      </c>
      <c r="H16" s="28">
        <v>0.0</v>
      </c>
      <c r="I16" s="29">
        <v>0.0</v>
      </c>
      <c r="J16" s="28">
        <v>1317.0</v>
      </c>
      <c r="K16" s="28">
        <v>0.0</v>
      </c>
      <c r="L16" s="29">
        <v>0.0</v>
      </c>
    </row>
    <row r="17" ht="18.0" customHeight="1">
      <c r="B17" s="26">
        <v>10.0</v>
      </c>
      <c r="C17" s="27" t="s">
        <v>78</v>
      </c>
      <c r="D17" s="28">
        <v>1005.0</v>
      </c>
      <c r="E17" s="28">
        <v>2.0</v>
      </c>
      <c r="F17" s="29">
        <v>0.1990049751243781</v>
      </c>
      <c r="G17" s="28">
        <v>632.0</v>
      </c>
      <c r="H17" s="28">
        <v>0.0</v>
      </c>
      <c r="I17" s="29">
        <v>0.0</v>
      </c>
      <c r="J17" s="28">
        <v>1637.0</v>
      </c>
      <c r="K17" s="28">
        <v>2.0</v>
      </c>
      <c r="L17" s="29">
        <v>0.12217470983506415</v>
      </c>
    </row>
    <row r="18" ht="18.0" customHeight="1">
      <c r="B18" s="26">
        <v>11.0</v>
      </c>
      <c r="C18" s="27" t="s">
        <v>79</v>
      </c>
      <c r="D18" s="28">
        <v>2732.0</v>
      </c>
      <c r="E18" s="28">
        <v>1.0</v>
      </c>
      <c r="F18" s="29">
        <v>0.036603221083455345</v>
      </c>
      <c r="G18" s="28">
        <v>3469.0</v>
      </c>
      <c r="H18" s="28">
        <v>9.0</v>
      </c>
      <c r="I18" s="29">
        <v>0.2594407610262323</v>
      </c>
      <c r="J18" s="28">
        <v>6201.0</v>
      </c>
      <c r="K18" s="28">
        <v>10.0</v>
      </c>
      <c r="L18" s="29">
        <v>0.16126431220770843</v>
      </c>
    </row>
    <row r="19" ht="18.0" customHeight="1">
      <c r="B19" s="30">
        <v>12.0</v>
      </c>
      <c r="C19" s="31" t="s">
        <v>80</v>
      </c>
      <c r="D19" s="32">
        <v>7899.0</v>
      </c>
      <c r="E19" s="32">
        <v>21.0</v>
      </c>
      <c r="F19" s="33">
        <v>0.2658564375237372</v>
      </c>
      <c r="G19" s="32">
        <v>20576.0</v>
      </c>
      <c r="H19" s="32">
        <v>77.0</v>
      </c>
      <c r="I19" s="33">
        <v>0.37422239502332816</v>
      </c>
      <c r="J19" s="32">
        <v>28475.0</v>
      </c>
      <c r="K19" s="32">
        <v>98.0</v>
      </c>
      <c r="L19" s="33">
        <v>0.34416154521510095</v>
      </c>
    </row>
    <row r="20" ht="18.0" customHeight="1">
      <c r="B20" s="26">
        <v>13.0</v>
      </c>
      <c r="C20" s="27" t="s">
        <v>81</v>
      </c>
      <c r="D20" s="28">
        <v>10350.0</v>
      </c>
      <c r="E20" s="28">
        <v>12.0</v>
      </c>
      <c r="F20" s="29">
        <v>0.11594202898550725</v>
      </c>
      <c r="G20" s="28">
        <v>10622.0</v>
      </c>
      <c r="H20" s="28">
        <v>26.0</v>
      </c>
      <c r="I20" s="29">
        <v>0.24477499529278854</v>
      </c>
      <c r="J20" s="28">
        <v>20972.0</v>
      </c>
      <c r="K20" s="28">
        <v>38.0</v>
      </c>
      <c r="L20" s="29">
        <v>0.18119397291626932</v>
      </c>
    </row>
    <row r="21" ht="18.0" customHeight="1">
      <c r="B21" s="26">
        <v>14.0</v>
      </c>
      <c r="C21" s="27" t="s">
        <v>82</v>
      </c>
      <c r="D21" s="28">
        <v>1446.0</v>
      </c>
      <c r="E21" s="28">
        <v>6.0</v>
      </c>
      <c r="F21" s="29">
        <v>0.4149377593360996</v>
      </c>
      <c r="G21" s="28">
        <v>3583.0</v>
      </c>
      <c r="H21" s="28">
        <v>8.0</v>
      </c>
      <c r="I21" s="29">
        <v>0.22327658386826682</v>
      </c>
      <c r="J21" s="28">
        <v>5029.0</v>
      </c>
      <c r="K21" s="28">
        <v>14.0</v>
      </c>
      <c r="L21" s="29">
        <v>0.27838536488367466</v>
      </c>
    </row>
    <row r="22" ht="18.0" customHeight="1">
      <c r="B22" s="26">
        <v>15.0</v>
      </c>
      <c r="C22" s="27" t="s">
        <v>83</v>
      </c>
      <c r="D22" s="28">
        <v>6022.0</v>
      </c>
      <c r="E22" s="28">
        <v>23.0</v>
      </c>
      <c r="F22" s="29">
        <v>0.38193291265360346</v>
      </c>
      <c r="G22" s="28">
        <v>16033.0</v>
      </c>
      <c r="H22" s="28">
        <v>30.0</v>
      </c>
      <c r="I22" s="29">
        <v>0.18711407721574252</v>
      </c>
      <c r="J22" s="28">
        <v>22055.0</v>
      </c>
      <c r="K22" s="28">
        <v>53.0</v>
      </c>
      <c r="L22" s="29">
        <v>0.24030832010881886</v>
      </c>
    </row>
    <row r="23" ht="18.0" customHeight="1">
      <c r="B23" s="26">
        <v>16.0</v>
      </c>
      <c r="C23" s="27" t="s">
        <v>84</v>
      </c>
      <c r="D23" s="28">
        <v>1545.0</v>
      </c>
      <c r="E23" s="28">
        <v>0.0</v>
      </c>
      <c r="F23" s="29">
        <v>0.0</v>
      </c>
      <c r="G23" s="28">
        <v>5127.0</v>
      </c>
      <c r="H23" s="28">
        <v>10.0</v>
      </c>
      <c r="I23" s="29">
        <v>0.19504583577140627</v>
      </c>
      <c r="J23" s="28">
        <v>6672.0</v>
      </c>
      <c r="K23" s="28">
        <v>10.0</v>
      </c>
      <c r="L23" s="29">
        <v>0.1498800959232614</v>
      </c>
    </row>
    <row r="24" ht="18.0" customHeight="1">
      <c r="B24" s="26">
        <v>17.0</v>
      </c>
      <c r="C24" s="27" t="s">
        <v>85</v>
      </c>
      <c r="D24" s="28">
        <v>2340.0</v>
      </c>
      <c r="E24" s="28">
        <v>3.0</v>
      </c>
      <c r="F24" s="29">
        <v>0.1282051282051282</v>
      </c>
      <c r="G24" s="28">
        <v>147.0</v>
      </c>
      <c r="H24" s="28">
        <v>0.0</v>
      </c>
      <c r="I24" s="29">
        <v>0.0</v>
      </c>
      <c r="J24" s="28">
        <v>2487.0</v>
      </c>
      <c r="K24" s="28">
        <v>3.0</v>
      </c>
      <c r="L24" s="29">
        <v>0.12062726176115801</v>
      </c>
    </row>
    <row r="25" ht="18.0" customHeight="1">
      <c r="B25" s="26">
        <v>18.0</v>
      </c>
      <c r="C25" s="27" t="s">
        <v>86</v>
      </c>
      <c r="D25" s="28">
        <v>2326.0</v>
      </c>
      <c r="E25" s="28">
        <v>38.0</v>
      </c>
      <c r="F25" s="29">
        <v>1.633705932932072</v>
      </c>
      <c r="G25" s="28">
        <v>1808.0</v>
      </c>
      <c r="H25" s="28">
        <v>13.0</v>
      </c>
      <c r="I25" s="29">
        <v>0.7190265486725663</v>
      </c>
      <c r="J25" s="28">
        <v>4134.0</v>
      </c>
      <c r="K25" s="28">
        <v>51.0</v>
      </c>
      <c r="L25" s="29">
        <v>1.2336719883889695</v>
      </c>
    </row>
    <row r="26" ht="18.0" customHeight="1">
      <c r="B26" s="26">
        <v>19.0</v>
      </c>
      <c r="C26" s="27" t="s">
        <v>87</v>
      </c>
      <c r="D26" s="28">
        <v>2506.0</v>
      </c>
      <c r="E26" s="28">
        <v>44.0</v>
      </c>
      <c r="F26" s="29">
        <v>1.7557861133280128</v>
      </c>
      <c r="G26" s="28">
        <v>686.0</v>
      </c>
      <c r="H26" s="28">
        <v>5.0</v>
      </c>
      <c r="I26" s="29">
        <v>0.7288629737609329</v>
      </c>
      <c r="J26" s="28">
        <v>3192.0</v>
      </c>
      <c r="K26" s="28">
        <v>49.0</v>
      </c>
      <c r="L26" s="29">
        <v>1.5350877192982455</v>
      </c>
    </row>
    <row r="27" ht="18.0" customHeight="1">
      <c r="B27" s="26">
        <v>20.0</v>
      </c>
      <c r="C27" s="27" t="s">
        <v>88</v>
      </c>
      <c r="D27" s="28">
        <v>1140.0</v>
      </c>
      <c r="E27" s="28">
        <v>22.0</v>
      </c>
      <c r="F27" s="29">
        <v>1.9298245614035088</v>
      </c>
      <c r="G27" s="28">
        <v>835.0</v>
      </c>
      <c r="H27" s="28">
        <v>2.0</v>
      </c>
      <c r="I27" s="29">
        <v>0.23952095808383234</v>
      </c>
      <c r="J27" s="28">
        <v>1975.0</v>
      </c>
      <c r="K27" s="28">
        <v>24.0</v>
      </c>
      <c r="L27" s="29">
        <v>1.2151898734177216</v>
      </c>
    </row>
    <row r="28" ht="18.0" customHeight="1">
      <c r="B28" s="26">
        <v>21.0</v>
      </c>
      <c r="C28" s="27" t="s">
        <v>89</v>
      </c>
      <c r="D28" s="28">
        <v>1190.0</v>
      </c>
      <c r="E28" s="28">
        <v>10.0</v>
      </c>
      <c r="F28" s="29">
        <v>0.8403361344537815</v>
      </c>
      <c r="G28" s="28">
        <v>183.0</v>
      </c>
      <c r="H28" s="28">
        <v>0.0</v>
      </c>
      <c r="I28" s="29">
        <v>0.0</v>
      </c>
      <c r="J28" s="28">
        <v>1373.0</v>
      </c>
      <c r="K28" s="28">
        <v>10.0</v>
      </c>
      <c r="L28" s="29">
        <v>0.7283321194464676</v>
      </c>
    </row>
    <row r="29" ht="18.0" customHeight="1">
      <c r="B29" s="26">
        <v>22.0</v>
      </c>
      <c r="C29" s="27" t="s">
        <v>90</v>
      </c>
      <c r="D29" s="28">
        <v>2666.0</v>
      </c>
      <c r="E29" s="28">
        <v>5.0</v>
      </c>
      <c r="F29" s="29">
        <v>0.1875468867216804</v>
      </c>
      <c r="G29" s="28">
        <v>154.0</v>
      </c>
      <c r="H29" s="28">
        <v>0.0</v>
      </c>
      <c r="I29" s="29">
        <v>0.0</v>
      </c>
      <c r="J29" s="28">
        <v>2820.0</v>
      </c>
      <c r="K29" s="28">
        <v>5.0</v>
      </c>
      <c r="L29" s="29">
        <v>0.1773049645390071</v>
      </c>
    </row>
    <row r="30" ht="18.0" customHeight="1">
      <c r="B30" s="26">
        <v>23.0</v>
      </c>
      <c r="C30" s="27" t="s">
        <v>91</v>
      </c>
      <c r="D30" s="28">
        <v>1798.0</v>
      </c>
      <c r="E30" s="28">
        <v>14.0</v>
      </c>
      <c r="F30" s="29">
        <v>0.778642936596218</v>
      </c>
      <c r="G30" s="28">
        <v>1038.0</v>
      </c>
      <c r="H30" s="28">
        <v>2.0</v>
      </c>
      <c r="I30" s="29">
        <v>0.1926782273603083</v>
      </c>
      <c r="J30" s="28">
        <v>2836.0</v>
      </c>
      <c r="K30" s="28">
        <v>16.0</v>
      </c>
      <c r="L30" s="29">
        <v>0.5641748942172073</v>
      </c>
    </row>
    <row r="31" ht="18.0" customHeight="1">
      <c r="B31" s="26">
        <v>24.0</v>
      </c>
      <c r="C31" s="27" t="s">
        <v>92</v>
      </c>
      <c r="D31" s="28">
        <v>598.0</v>
      </c>
      <c r="E31" s="28">
        <v>1.0</v>
      </c>
      <c r="F31" s="29">
        <v>0.16722408026755853</v>
      </c>
      <c r="G31" s="28">
        <v>13.0</v>
      </c>
      <c r="H31" s="28">
        <v>0.0</v>
      </c>
      <c r="I31" s="29">
        <v>0.0</v>
      </c>
      <c r="J31" s="28">
        <v>611.0</v>
      </c>
      <c r="K31" s="28">
        <v>1.0</v>
      </c>
      <c r="L31" s="29">
        <v>0.16366612111292964</v>
      </c>
    </row>
    <row r="32" ht="18.0" customHeight="1">
      <c r="B32" s="26">
        <v>25.0</v>
      </c>
      <c r="C32" s="27" t="s">
        <v>93</v>
      </c>
      <c r="D32" s="28">
        <v>355.0</v>
      </c>
      <c r="E32" s="28">
        <v>0.0</v>
      </c>
      <c r="F32" s="29">
        <v>0.0</v>
      </c>
      <c r="G32" s="28">
        <v>1288.0</v>
      </c>
      <c r="H32" s="28">
        <v>0.0</v>
      </c>
      <c r="I32" s="29">
        <v>0.0</v>
      </c>
      <c r="J32" s="28">
        <v>1643.0</v>
      </c>
      <c r="K32" s="28">
        <v>0.0</v>
      </c>
      <c r="L32" s="29">
        <v>0.0</v>
      </c>
    </row>
    <row r="33" ht="18.0" customHeight="1">
      <c r="B33" s="26">
        <v>26.0</v>
      </c>
      <c r="C33" s="27" t="s">
        <v>94</v>
      </c>
      <c r="D33" s="28">
        <v>924.0</v>
      </c>
      <c r="E33" s="28">
        <v>3.0</v>
      </c>
      <c r="F33" s="29">
        <v>0.3246753246753247</v>
      </c>
      <c r="G33" s="28">
        <v>669.0</v>
      </c>
      <c r="H33" s="28">
        <v>0.0</v>
      </c>
      <c r="I33" s="29">
        <v>0.0</v>
      </c>
      <c r="J33" s="28">
        <v>1593.0</v>
      </c>
      <c r="K33" s="28">
        <v>3.0</v>
      </c>
      <c r="L33" s="29">
        <v>0.18832391713747645</v>
      </c>
    </row>
    <row r="34" ht="18.0" customHeight="1">
      <c r="B34" s="26">
        <v>27.0</v>
      </c>
      <c r="C34" s="27" t="s">
        <v>95</v>
      </c>
      <c r="D34" s="28">
        <v>1954.0</v>
      </c>
      <c r="E34" s="28">
        <v>11.0</v>
      </c>
      <c r="F34" s="29">
        <v>0.5629477993858751</v>
      </c>
      <c r="G34" s="28">
        <v>2855.0</v>
      </c>
      <c r="H34" s="28">
        <v>12.0</v>
      </c>
      <c r="I34" s="29">
        <v>0.42031523642732055</v>
      </c>
      <c r="J34" s="28">
        <v>4809.0</v>
      </c>
      <c r="K34" s="28">
        <v>23.0</v>
      </c>
      <c r="L34" s="29">
        <v>0.47826991058432106</v>
      </c>
    </row>
    <row r="35" ht="18.0" customHeight="1">
      <c r="B35" s="26">
        <v>28.0</v>
      </c>
      <c r="C35" s="27" t="s">
        <v>96</v>
      </c>
      <c r="D35" s="28">
        <v>714.0</v>
      </c>
      <c r="E35" s="28">
        <v>3.0</v>
      </c>
      <c r="F35" s="29">
        <v>0.42016806722689076</v>
      </c>
      <c r="G35" s="28">
        <v>1925.0</v>
      </c>
      <c r="H35" s="28">
        <v>11.0</v>
      </c>
      <c r="I35" s="29">
        <v>0.5714285714285714</v>
      </c>
      <c r="J35" s="28">
        <v>2639.0</v>
      </c>
      <c r="K35" s="28">
        <v>14.0</v>
      </c>
      <c r="L35" s="29">
        <v>0.5305039787798408</v>
      </c>
    </row>
    <row r="36" ht="18.0" customHeight="1">
      <c r="B36" s="26">
        <v>29.0</v>
      </c>
      <c r="C36" s="27" t="s">
        <v>97</v>
      </c>
      <c r="D36" s="28">
        <v>1060.0</v>
      </c>
      <c r="E36" s="28">
        <v>9.0</v>
      </c>
      <c r="F36" s="29">
        <v>0.8490566037735849</v>
      </c>
      <c r="G36" s="28">
        <v>0.0</v>
      </c>
      <c r="H36" s="28">
        <v>0.0</v>
      </c>
      <c r="I36" s="29">
        <v>0.0</v>
      </c>
      <c r="J36" s="28">
        <v>1060.0</v>
      </c>
      <c r="K36" s="28">
        <v>9.0</v>
      </c>
      <c r="L36" s="29">
        <v>0.8490566037735849</v>
      </c>
    </row>
    <row r="37" ht="18.0" customHeight="1">
      <c r="B37" s="26">
        <v>30.0</v>
      </c>
      <c r="C37" s="27" t="s">
        <v>98</v>
      </c>
      <c r="D37" s="28">
        <v>637.0</v>
      </c>
      <c r="E37" s="28">
        <v>0.0</v>
      </c>
      <c r="F37" s="29">
        <v>0.0</v>
      </c>
      <c r="G37" s="28">
        <v>452.0</v>
      </c>
      <c r="H37" s="28">
        <v>0.0</v>
      </c>
      <c r="I37" s="29">
        <v>0.0</v>
      </c>
      <c r="J37" s="28">
        <v>1089.0</v>
      </c>
      <c r="K37" s="28">
        <v>0.0</v>
      </c>
      <c r="L37" s="29">
        <v>0.0</v>
      </c>
    </row>
    <row r="38" ht="18.0" customHeight="1">
      <c r="B38" s="26">
        <v>31.0</v>
      </c>
      <c r="C38" s="27" t="s">
        <v>99</v>
      </c>
      <c r="D38" s="28">
        <v>608.0</v>
      </c>
      <c r="E38" s="28">
        <v>9.0</v>
      </c>
      <c r="F38" s="29">
        <v>1.4802631578947367</v>
      </c>
      <c r="G38" s="28">
        <v>243.0</v>
      </c>
      <c r="H38" s="28">
        <v>1.0</v>
      </c>
      <c r="I38" s="29">
        <v>0.411522633744856</v>
      </c>
      <c r="J38" s="28">
        <v>851.0</v>
      </c>
      <c r="K38" s="28">
        <v>10.0</v>
      </c>
      <c r="L38" s="29">
        <v>1.1750881316098707</v>
      </c>
    </row>
    <row r="39" ht="18.0" customHeight="1">
      <c r="B39" s="26">
        <v>32.0</v>
      </c>
      <c r="C39" s="27" t="s">
        <v>100</v>
      </c>
      <c r="D39" s="28">
        <v>750.0</v>
      </c>
      <c r="E39" s="28">
        <v>9.0</v>
      </c>
      <c r="F39" s="29">
        <v>1.2</v>
      </c>
      <c r="G39" s="28">
        <v>149.0</v>
      </c>
      <c r="H39" s="28">
        <v>0.0</v>
      </c>
      <c r="I39" s="29">
        <v>0.0</v>
      </c>
      <c r="J39" s="28">
        <v>899.0</v>
      </c>
      <c r="K39" s="28">
        <v>9.0</v>
      </c>
      <c r="L39" s="29">
        <v>1.0011123470522802</v>
      </c>
    </row>
    <row r="40" ht="18.0" customHeight="1">
      <c r="B40" s="26">
        <v>33.0</v>
      </c>
      <c r="C40" s="27" t="s">
        <v>101</v>
      </c>
      <c r="D40" s="28">
        <v>397.0</v>
      </c>
      <c r="E40" s="28">
        <v>7.0</v>
      </c>
      <c r="F40" s="29">
        <v>1.7632241813602016</v>
      </c>
      <c r="G40" s="28">
        <v>63.0</v>
      </c>
      <c r="H40" s="28">
        <v>11.0</v>
      </c>
      <c r="I40" s="29">
        <v>17.46031746031746</v>
      </c>
      <c r="J40" s="28">
        <v>460.0</v>
      </c>
      <c r="K40" s="28">
        <v>18.0</v>
      </c>
      <c r="L40" s="29">
        <v>3.91304347826087</v>
      </c>
    </row>
    <row r="41" ht="18.0" customHeight="1">
      <c r="B41" s="26">
        <v>34.0</v>
      </c>
      <c r="C41" s="27" t="s">
        <v>102</v>
      </c>
      <c r="D41" s="28">
        <v>0.0</v>
      </c>
      <c r="E41" s="28">
        <v>0.0</v>
      </c>
      <c r="F41" s="29">
        <v>0.0</v>
      </c>
      <c r="G41" s="28">
        <v>66.0</v>
      </c>
      <c r="H41" s="28">
        <v>0.0</v>
      </c>
      <c r="I41" s="29">
        <v>0.0</v>
      </c>
      <c r="J41" s="28">
        <v>66.0</v>
      </c>
      <c r="K41" s="28">
        <v>0.0</v>
      </c>
      <c r="L41" s="29">
        <v>0.0</v>
      </c>
    </row>
    <row r="42" ht="18.0" customHeight="1">
      <c r="B42" s="26">
        <v>35.0</v>
      </c>
      <c r="C42" s="27" t="s">
        <v>103</v>
      </c>
      <c r="D42" s="28">
        <v>140.0</v>
      </c>
      <c r="E42" s="28">
        <v>0.0</v>
      </c>
      <c r="F42" s="29">
        <v>0.0</v>
      </c>
      <c r="G42" s="28">
        <v>0.0</v>
      </c>
      <c r="H42" s="28">
        <v>0.0</v>
      </c>
      <c r="I42" s="29">
        <v>0.0</v>
      </c>
      <c r="J42" s="28">
        <v>140.0</v>
      </c>
      <c r="K42" s="28">
        <v>0.0</v>
      </c>
      <c r="L42" s="29">
        <v>0.0</v>
      </c>
    </row>
    <row r="43" ht="18.0" customHeight="1">
      <c r="B43" s="26">
        <v>36.0</v>
      </c>
      <c r="C43" s="27" t="s">
        <v>104</v>
      </c>
      <c r="D43" s="28">
        <v>127.0</v>
      </c>
      <c r="E43" s="28">
        <v>0.0</v>
      </c>
      <c r="F43" s="29">
        <v>0.0</v>
      </c>
      <c r="G43" s="28">
        <v>777.0</v>
      </c>
      <c r="H43" s="28">
        <v>0.0</v>
      </c>
      <c r="I43" s="29">
        <v>0.0</v>
      </c>
      <c r="J43" s="28">
        <v>904.0</v>
      </c>
      <c r="K43" s="28">
        <v>0.0</v>
      </c>
      <c r="L43" s="29">
        <v>0.0</v>
      </c>
    </row>
    <row r="44" ht="18.0" customHeight="1">
      <c r="B44" s="26">
        <v>37.0</v>
      </c>
      <c r="C44" s="27" t="s">
        <v>105</v>
      </c>
      <c r="D44" s="28">
        <v>0.0</v>
      </c>
      <c r="E44" s="28">
        <v>0.0</v>
      </c>
      <c r="F44" s="29">
        <v>0.0</v>
      </c>
      <c r="G44" s="28">
        <v>0.0</v>
      </c>
      <c r="H44" s="28">
        <v>0.0</v>
      </c>
      <c r="I44" s="29">
        <v>0.0</v>
      </c>
      <c r="J44" s="28">
        <v>0.0</v>
      </c>
      <c r="K44" s="28">
        <v>0.0</v>
      </c>
      <c r="L44" s="29">
        <v>0.0</v>
      </c>
    </row>
    <row r="45" ht="18.0" customHeight="1">
      <c r="B45" s="26">
        <v>38.0</v>
      </c>
      <c r="C45" s="27" t="s">
        <v>106</v>
      </c>
      <c r="D45" s="28">
        <v>207.0</v>
      </c>
      <c r="E45" s="28">
        <v>0.0</v>
      </c>
      <c r="F45" s="29">
        <v>0.0</v>
      </c>
      <c r="G45" s="28">
        <v>0.0</v>
      </c>
      <c r="H45" s="28">
        <v>0.0</v>
      </c>
      <c r="I45" s="29">
        <v>0.0</v>
      </c>
      <c r="J45" s="28">
        <v>207.0</v>
      </c>
      <c r="K45" s="28">
        <v>0.0</v>
      </c>
      <c r="L45" s="29">
        <v>0.0</v>
      </c>
    </row>
    <row r="46" ht="18.0" customHeight="1">
      <c r="B46" s="26">
        <v>39.0</v>
      </c>
      <c r="C46" s="27" t="s">
        <v>107</v>
      </c>
      <c r="D46" s="28">
        <v>0.0</v>
      </c>
      <c r="E46" s="28">
        <v>0.0</v>
      </c>
      <c r="F46" s="29">
        <v>0.0</v>
      </c>
      <c r="G46" s="28">
        <v>0.0</v>
      </c>
      <c r="H46" s="28">
        <v>0.0</v>
      </c>
      <c r="I46" s="29">
        <v>0.0</v>
      </c>
      <c r="J46" s="28">
        <v>0.0</v>
      </c>
      <c r="K46" s="28">
        <v>0.0</v>
      </c>
      <c r="L46" s="29">
        <v>0.0</v>
      </c>
    </row>
    <row r="47" ht="18.0" customHeight="1">
      <c r="B47" s="24" t="s">
        <v>108</v>
      </c>
      <c r="C47" s="11"/>
      <c r="D47" s="34">
        <v>71108.0</v>
      </c>
      <c r="E47" s="34">
        <v>365.0</v>
      </c>
      <c r="F47" s="35">
        <v>0.5133037070371829</v>
      </c>
      <c r="G47" s="34">
        <v>87684.0</v>
      </c>
      <c r="H47" s="34">
        <v>333.0</v>
      </c>
      <c r="I47" s="35">
        <v>0.3797728205830026</v>
      </c>
      <c r="J47" s="34">
        <v>158792.0</v>
      </c>
      <c r="K47" s="34">
        <v>698.0</v>
      </c>
      <c r="L47" s="35">
        <v>0.4395687440173308</v>
      </c>
    </row>
    <row r="48" ht="14.25" customHeight="1"/>
    <row r="49" ht="44.25" customHeight="1">
      <c r="B49" s="36" t="s">
        <v>117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6:B7"/>
    <mergeCell ref="C6:C7"/>
    <mergeCell ref="D6:F6"/>
    <mergeCell ref="G6:I6"/>
    <mergeCell ref="J6:L6"/>
    <mergeCell ref="B47:C47"/>
    <mergeCell ref="B49:L4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2025-07-06T14:14:07Z</dcterms:created>
  <dc:creator>iwan_sulistiawan@hotmail.com</dc:creator>
</cp:coreProperties>
</file>